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n-Kendall-Final" sheetId="1" r:id="rId4"/>
    <sheet state="visible" name="Discussion3" sheetId="2" r:id="rId5"/>
    <sheet state="visible" name="Selected_repos_with_releases" sheetId="3" r:id="rId6"/>
    <sheet state="visible" name="Quartile_" sheetId="4" r:id="rId7"/>
    <sheet state="visible" name="correlations" sheetId="5" r:id="rId8"/>
  </sheets>
  <definedNames/>
  <calcPr/>
</workbook>
</file>

<file path=xl/sharedStrings.xml><?xml version="1.0" encoding="utf-8"?>
<sst xmlns="http://schemas.openxmlformats.org/spreadsheetml/2006/main" count="2522" uniqueCount="1083">
  <si>
    <t>Small</t>
  </si>
  <si>
    <t>Medium</t>
  </si>
  <si>
    <t>Large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</si>
  <si>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</si>
  <si>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</si>
  <si>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</si>
  <si>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</si>
  <si>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</si>
  <si>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</si>
  <si>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</si>
  <si>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</si>
  <si>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</si>
  <si>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</si>
  <si>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</si>
  <si>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</si>
  <si>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</si>
  <si>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</si>
  <si>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</si>
  <si>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</si>
  <si>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</si>
  <si>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</si>
  <si>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</si>
  <si>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</si>
  <si>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</si>
  <si>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</si>
  <si>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bigartm</t>
  </si>
  <si>
    <t>coco-annotator</t>
  </si>
  <si>
    <t>PyKEEN</t>
  </si>
  <si>
    <t>POT</t>
  </si>
  <si>
    <t>OpenVINO-model-server</t>
  </si>
  <si>
    <t>dm_control</t>
  </si>
  <si>
    <t>EconML</t>
  </si>
  <si>
    <t>interpret</t>
  </si>
  <si>
    <t>pyro</t>
  </si>
  <si>
    <t>ludwig</t>
  </si>
  <si>
    <t>hdbscan</t>
  </si>
  <si>
    <t>compromise</t>
  </si>
  <si>
    <t>nlp.js</t>
  </si>
  <si>
    <t>scanpy</t>
  </si>
  <si>
    <t>MMdnn</t>
  </si>
  <si>
    <t>deepchem</t>
  </si>
  <si>
    <t>tesseract</t>
  </si>
  <si>
    <t>incubator-mxnet</t>
  </si>
  <si>
    <t>shap</t>
  </si>
  <si>
    <t>mne-python</t>
  </si>
  <si>
    <t>OpenNMT-py</t>
  </si>
  <si>
    <t>kornia</t>
  </si>
  <si>
    <t>OSE</t>
  </si>
  <si>
    <t>72 [↑]**</t>
  </si>
  <si>
    <t>69 [↑]**</t>
  </si>
  <si>
    <t>32 [–]</t>
  </si>
  <si>
    <t>112 [↑]**</t>
  </si>
  <si>
    <t>0 [–]</t>
  </si>
  <si>
    <t>-6 [–]</t>
  </si>
  <si>
    <t>20 [–]</t>
  </si>
  <si>
    <t>-1 [–]</t>
  </si>
  <si>
    <t>166 [↑]**</t>
  </si>
  <si>
    <t>8 [–]</t>
  </si>
  <si>
    <t>216 [↑]*</t>
  </si>
  <si>
    <t>-115 [–]</t>
  </si>
  <si>
    <t>15 [–]</t>
  </si>
  <si>
    <t>144 [↑]*</t>
  </si>
  <si>
    <t>18 [↑]*</t>
  </si>
  <si>
    <t>98 [↑]*</t>
  </si>
  <si>
    <t>13 [–]</t>
  </si>
  <si>
    <t>208 [↑]*</t>
  </si>
  <si>
    <t>186 [↑]**</t>
  </si>
  <si>
    <t>-14 [–]</t>
  </si>
  <si>
    <t>141 [–]</t>
  </si>
  <si>
    <t>BCE</t>
  </si>
  <si>
    <t>-18 [–]</t>
  </si>
  <si>
    <t>1 [–]</t>
  </si>
  <si>
    <t>-15 [–]</t>
  </si>
  <si>
    <t>5 [–]</t>
  </si>
  <si>
    <t>-11 [–]</t>
  </si>
  <si>
    <t>42 [–]</t>
  </si>
  <si>
    <t>200 [↑]**</t>
  </si>
  <si>
    <t>62 [–]</t>
  </si>
  <si>
    <t>-41 [–]</t>
  </si>
  <si>
    <t>34 [–]</t>
  </si>
  <si>
    <t>165 [↑]**</t>
  </si>
  <si>
    <t>151 [↑]**</t>
  </si>
  <si>
    <t>-160 [–]</t>
  </si>
  <si>
    <t>188 [–]</t>
  </si>
  <si>
    <t>48 [–]</t>
  </si>
  <si>
    <t>-28 [–]</t>
  </si>
  <si>
    <t>PDE</t>
  </si>
  <si>
    <t>0[–]</t>
  </si>
  <si>
    <t>185 [↑]***</t>
  </si>
  <si>
    <t>SV</t>
  </si>
  <si>
    <t>90 [↑]**</t>
  </si>
  <si>
    <t>46 [↑]*</t>
  </si>
  <si>
    <t>60 [↑]*</t>
  </si>
  <si>
    <t>117 [↑]**</t>
  </si>
  <si>
    <t>-3 [–]</t>
  </si>
  <si>
    <t>90 [↑]*</t>
  </si>
  <si>
    <t>118 [–]</t>
  </si>
  <si>
    <t>152 [↑]**</t>
  </si>
  <si>
    <t>-172 [↓]*</t>
  </si>
  <si>
    <t>346 [↑]**</t>
  </si>
  <si>
    <t>-207 [–]</t>
  </si>
  <si>
    <t>56 [–]</t>
  </si>
  <si>
    <t>380 [↑]***</t>
  </si>
  <si>
    <t>-16 [–]</t>
  </si>
  <si>
    <t>-70 [–]</t>
  </si>
  <si>
    <t>238 [↑]*</t>
  </si>
  <si>
    <t>-232 [↓]*</t>
  </si>
  <si>
    <t>-12 [–]</t>
  </si>
  <si>
    <t>OS</t>
  </si>
  <si>
    <t>-142 [↓]*</t>
  </si>
  <si>
    <t>-63 [–]</t>
  </si>
  <si>
    <t>10 [–]</t>
  </si>
  <si>
    <t>28 [–]</t>
  </si>
  <si>
    <t>88 [–]</t>
  </si>
  <si>
    <t>-48 [–]</t>
  </si>
  <si>
    <t>116 [↑]**</t>
  </si>
  <si>
    <t>SD</t>
  </si>
  <si>
    <t>24 [–]</t>
  </si>
  <si>
    <t>44 [↑]*</t>
  </si>
  <si>
    <t>50 [–]</t>
  </si>
  <si>
    <t>17 [–]</t>
  </si>
  <si>
    <t>198 [↑]*</t>
  </si>
  <si>
    <t>-56 [–]</t>
  </si>
  <si>
    <t>41 [–]</t>
  </si>
  <si>
    <t>4 [–]</t>
  </si>
  <si>
    <t>-92 [↓]**</t>
  </si>
  <si>
    <t>-4 [–]</t>
  </si>
  <si>
    <t>-17 [–]</t>
  </si>
  <si>
    <t>RS</t>
  </si>
  <si>
    <t>137 [↑]**</t>
  </si>
  <si>
    <t>52 [↑]*</t>
  </si>
  <si>
    <t>-10 [–]</t>
  </si>
  <si>
    <t>121 [–]</t>
  </si>
  <si>
    <t>49 [–]</t>
  </si>
  <si>
    <t>272 [↑]***</t>
  </si>
  <si>
    <t>242 [↑]*</t>
  </si>
  <si>
    <t>-88 [–]</t>
  </si>
  <si>
    <t>46 [–]</t>
  </si>
  <si>
    <t>-136 [–]</t>
  </si>
  <si>
    <t>22 [–]</t>
  </si>
  <si>
    <t>209 [↑]***</t>
  </si>
  <si>
    <t>73 [–]</t>
  </si>
  <si>
    <t>12 [–]</t>
  </si>
  <si>
    <t>358 [↑]**</t>
  </si>
  <si>
    <t>84 [–]</t>
  </si>
  <si>
    <t>TF</t>
  </si>
  <si>
    <t>-23 [–]</t>
  </si>
  <si>
    <t>23 [–]</t>
  </si>
  <si>
    <t>77 [–]</t>
  </si>
  <si>
    <t>158 [↑]*</t>
  </si>
  <si>
    <t>-19 [–]</t>
  </si>
  <si>
    <t>63 [–]</t>
  </si>
  <si>
    <t>118 [↑]*</t>
  </si>
  <si>
    <t>-152 [↓]*</t>
  </si>
  <si>
    <t>148 [–]</t>
  </si>
  <si>
    <t>70 [–]</t>
  </si>
  <si>
    <t>-43 [–]</t>
  </si>
  <si>
    <t>UI</t>
  </si>
  <si>
    <t>6 [–]</t>
  </si>
  <si>
    <t>7 [–]</t>
  </si>
  <si>
    <t>36 [–]</t>
  </si>
  <si>
    <t>-38 [–]</t>
  </si>
  <si>
    <t>-246 [↓]*</t>
  </si>
  <si>
    <t>-26 [–]</t>
  </si>
  <si>
    <t>-124 [↓]**</t>
  </si>
  <si>
    <t>-54 [–]</t>
  </si>
  <si>
    <t>26 [–]</t>
  </si>
  <si>
    <t>-292 [↓]***</t>
  </si>
  <si>
    <t>-35 [–]</t>
  </si>
  <si>
    <t>TC</t>
  </si>
  <si>
    <t>174 [↑]***</t>
  </si>
  <si>
    <t>27 [–]</t>
  </si>
  <si>
    <t>Code</t>
  </si>
  <si>
    <t>95 [↑]**</t>
  </si>
  <si>
    <t>140 [↑]***</t>
  </si>
  <si>
    <t>86 [↑]***</t>
  </si>
  <si>
    <t>162 [↑]***</t>
  </si>
  <si>
    <t>391 [↑]***</t>
  </si>
  <si>
    <t>660 [↑]***</t>
  </si>
  <si>
    <t>374 [↑]***</t>
  </si>
  <si>
    <t>1038 [↑]***</t>
  </si>
  <si>
    <t>1624 [↑]***</t>
  </si>
  <si>
    <t>-206 [–]</t>
  </si>
  <si>
    <t>237 [↑]***</t>
  </si>
  <si>
    <t>-7 [–]</t>
  </si>
  <si>
    <t>-58 [–]</t>
  </si>
  <si>
    <t>1300 [↑]***</t>
  </si>
  <si>
    <t>-86 [–]</t>
  </si>
  <si>
    <t>620 [↑]***</t>
  </si>
  <si>
    <t>Defect</t>
  </si>
  <si>
    <t>169 [↑]***</t>
  </si>
  <si>
    <t>150 [↑]***</t>
  </si>
  <si>
    <t>213 [↑]***</t>
  </si>
  <si>
    <t>105 [↑]***</t>
  </si>
  <si>
    <t>316 [↑]***</t>
  </si>
  <si>
    <t>860 [↑]***</t>
  </si>
  <si>
    <t>445 [↑]***</t>
  </si>
  <si>
    <t>1069 [↑]***</t>
  </si>
  <si>
    <t>-111 [–]</t>
  </si>
  <si>
    <t>1247 [↑]***</t>
  </si>
  <si>
    <t>41 [↑]***</t>
  </si>
  <si>
    <t>215 [↑]***</t>
  </si>
  <si>
    <t>943 [↑]***</t>
  </si>
  <si>
    <t>404 [↑]**</t>
  </si>
  <si>
    <t>-175 [–]</t>
  </si>
  <si>
    <t>709 [↑]***</t>
  </si>
  <si>
    <t>Design</t>
  </si>
  <si>
    <t>97 [↑]**</t>
  </si>
  <si>
    <t>191 [↑]***</t>
  </si>
  <si>
    <t>82 [↑]**</t>
  </si>
  <si>
    <t>354 [↑]***</t>
  </si>
  <si>
    <t>1024 [↑]***</t>
  </si>
  <si>
    <t>446 [↑]***</t>
  </si>
  <si>
    <t>1049 [↑]***</t>
  </si>
  <si>
    <t>-637 [↓]***</t>
  </si>
  <si>
    <t>2671 [↑]***</t>
  </si>
  <si>
    <t>39 [↑]**</t>
  </si>
  <si>
    <t>138 [↑]***</t>
  </si>
  <si>
    <t>249 [↑]***</t>
  </si>
  <si>
    <t>-208 [↓]***</t>
  </si>
  <si>
    <t>619 [↑]***</t>
  </si>
  <si>
    <t>926 [↑]***</t>
  </si>
  <si>
    <t>-280 [↓]***</t>
  </si>
  <si>
    <t>678 [↑]***</t>
  </si>
  <si>
    <t>Documentation</t>
  </si>
  <si>
    <t>142 [↑]***</t>
  </si>
  <si>
    <t>154 [↑]***</t>
  </si>
  <si>
    <t>90 [↑]***</t>
  </si>
  <si>
    <t>319 [↑]***</t>
  </si>
  <si>
    <t>927 [↑]***</t>
  </si>
  <si>
    <t>387 [↑]***</t>
  </si>
  <si>
    <t>1028 [↑]***</t>
  </si>
  <si>
    <t>-1588 [↓]***</t>
  </si>
  <si>
    <t>1736 [↑]***</t>
  </si>
  <si>
    <t>32 [↑]**</t>
  </si>
  <si>
    <t>254 [↑]***</t>
  </si>
  <si>
    <t>102 [–]</t>
  </si>
  <si>
    <t>237 [↑]*</t>
  </si>
  <si>
    <t>1099 [↑]***</t>
  </si>
  <si>
    <t>566 [↑]***</t>
  </si>
  <si>
    <t>M&amp;T</t>
  </si>
  <si>
    <t>160 [↑]***</t>
  </si>
  <si>
    <t>84 [↑]**</t>
  </si>
  <si>
    <t>56 [↑]**</t>
  </si>
  <si>
    <t>207 [↑]***</t>
  </si>
  <si>
    <t>952 [↑]***</t>
  </si>
  <si>
    <t>373 [↑]***</t>
  </si>
  <si>
    <t>808 [↑]***</t>
  </si>
  <si>
    <t>-1063 [↓]***</t>
  </si>
  <si>
    <t>2540 [↑]***</t>
  </si>
  <si>
    <t>30 [↑]**</t>
  </si>
  <si>
    <t>40 [–]</t>
  </si>
  <si>
    <t>-13 [–]</t>
  </si>
  <si>
    <t>225 [↑]***</t>
  </si>
  <si>
    <t>779 [↑]***</t>
  </si>
  <si>
    <t>1031 [↑]***</t>
  </si>
  <si>
    <t>336 [↑]***</t>
  </si>
  <si>
    <t>515 [↑]***</t>
  </si>
  <si>
    <t>Requirement</t>
  </si>
  <si>
    <t>134 [↑]**</t>
  </si>
  <si>
    <t>183 [↑]***</t>
  </si>
  <si>
    <t>177 [↑]***</t>
  </si>
  <si>
    <t>263 [↑]***</t>
  </si>
  <si>
    <t>102 [↑]***</t>
  </si>
  <si>
    <t>168 [↑]***</t>
  </si>
  <si>
    <t>334 [↑]***</t>
  </si>
  <si>
    <t>996 [↑]***</t>
  </si>
  <si>
    <t>421 [↑]***</t>
  </si>
  <si>
    <t>1118 [↑]***</t>
  </si>
  <si>
    <t>468 [↑]***</t>
  </si>
  <si>
    <t>-916 [↓]***</t>
  </si>
  <si>
    <t>2391 [↑]***</t>
  </si>
  <si>
    <t>46 [↑]***</t>
  </si>
  <si>
    <t>99 [↑]***</t>
  </si>
  <si>
    <t>287 [↑]***</t>
  </si>
  <si>
    <t>302 [↑]***</t>
  </si>
  <si>
    <t>551 [↑]***</t>
  </si>
  <si>
    <t>1294 [↑]***</t>
  </si>
  <si>
    <t>658 [↑]***</t>
  </si>
  <si>
    <t>711 [↑]***</t>
  </si>
  <si>
    <t>72.0[↑]**</t>
  </si>
  <si>
    <t>69.0[↑]**</t>
  </si>
  <si>
    <t>32.0[–]</t>
  </si>
  <si>
    <t>112.0[↑]**</t>
  </si>
  <si>
    <t>0.0[–]</t>
  </si>
  <si>
    <t>-6.0[–]</t>
  </si>
  <si>
    <t>20.0[–]</t>
  </si>
  <si>
    <t>-1.0[–]</t>
  </si>
  <si>
    <t>166.0[↑]**</t>
  </si>
  <si>
    <t>8.0[–]</t>
  </si>
  <si>
    <t>216.0[↑]*</t>
  </si>
  <si>
    <t>-115.0[–]</t>
  </si>
  <si>
    <t>15.0[–]</t>
  </si>
  <si>
    <t>144.0[↑]*</t>
  </si>
  <si>
    <t>18.0[↑]*</t>
  </si>
  <si>
    <t>98.0[↑]*</t>
  </si>
  <si>
    <t>13.0[–]</t>
  </si>
  <si>
    <t>208.0[↑]*</t>
  </si>
  <si>
    <t>186.0[↑]**</t>
  </si>
  <si>
    <t>-14.0[–]</t>
  </si>
  <si>
    <t>141.0[–]</t>
  </si>
  <si>
    <t>-18.0[–]</t>
  </si>
  <si>
    <t>1.0[–]</t>
  </si>
  <si>
    <t>-15.0[–]</t>
  </si>
  <si>
    <t>5.0[–]</t>
  </si>
  <si>
    <t>-11.0[–]</t>
  </si>
  <si>
    <t>42.0[–]</t>
  </si>
  <si>
    <t>200.0[↑]**</t>
  </si>
  <si>
    <t>62.0[–]</t>
  </si>
  <si>
    <t>-41.0[–]</t>
  </si>
  <si>
    <t>34.0[–]</t>
  </si>
  <si>
    <t>165.0[↑]**</t>
  </si>
  <si>
    <t>151.0[↑]**</t>
  </si>
  <si>
    <t>-160.0[–]</t>
  </si>
  <si>
    <t>188.0[–]</t>
  </si>
  <si>
    <t>48.0[–]</t>
  </si>
  <si>
    <t>-28.0[–]</t>
  </si>
  <si>
    <t>185.0[↑]***</t>
  </si>
  <si>
    <t>90.0[↑]**</t>
  </si>
  <si>
    <t>46.0[↑]*</t>
  </si>
  <si>
    <t>60.0[↑]*</t>
  </si>
  <si>
    <t>117.0[↑]**</t>
  </si>
  <si>
    <t>-3.0[–]</t>
  </si>
  <si>
    <t>90.0[↑]*</t>
  </si>
  <si>
    <t>118.0[–]</t>
  </si>
  <si>
    <t>152.0[↑]**</t>
  </si>
  <si>
    <t>-172.0[↓]*</t>
  </si>
  <si>
    <t>346.0[↑]**</t>
  </si>
  <si>
    <t>-207.0[–]</t>
  </si>
  <si>
    <t>56.0[–]</t>
  </si>
  <si>
    <t>380.0[↑]***</t>
  </si>
  <si>
    <t>-16.0[–]</t>
  </si>
  <si>
    <t>-70.0[–]</t>
  </si>
  <si>
    <t>238.0[↑]*</t>
  </si>
  <si>
    <t>-232.0[↓]*</t>
  </si>
  <si>
    <t>-12.0[–]</t>
  </si>
  <si>
    <t>-142.0[↓]*</t>
  </si>
  <si>
    <t>-63.0[–]</t>
  </si>
  <si>
    <t>10.0[–]</t>
  </si>
  <si>
    <t>28.0[–]</t>
  </si>
  <si>
    <t>88.0[–]</t>
  </si>
  <si>
    <t>-48.0[–]</t>
  </si>
  <si>
    <t>116.0[↑]**</t>
  </si>
  <si>
    <t>24.0[–]</t>
  </si>
  <si>
    <t>44.0[↑]*</t>
  </si>
  <si>
    <t>50.0[–]</t>
  </si>
  <si>
    <t>17.0[–]</t>
  </si>
  <si>
    <t>198.0[↑]*</t>
  </si>
  <si>
    <t>-56.0[–]</t>
  </si>
  <si>
    <t>41.0[–]</t>
  </si>
  <si>
    <t>4.0[–]</t>
  </si>
  <si>
    <t>-92.0[↓]**</t>
  </si>
  <si>
    <t>-4.0[–]</t>
  </si>
  <si>
    <t>-17.0[–]</t>
  </si>
  <si>
    <t>137.0[↑]**</t>
  </si>
  <si>
    <t>52.0[↑]*</t>
  </si>
  <si>
    <t>-10.0[–]</t>
  </si>
  <si>
    <t>121.0[–]</t>
  </si>
  <si>
    <t>49.0[–]</t>
  </si>
  <si>
    <t>272.0[↑]***</t>
  </si>
  <si>
    <t>242.0[↑]*</t>
  </si>
  <si>
    <t>-88.0[–]</t>
  </si>
  <si>
    <t>46.0[–]</t>
  </si>
  <si>
    <t>-136.0[–]</t>
  </si>
  <si>
    <t>22.0[–]</t>
  </si>
  <si>
    <t>209.0[↑]***</t>
  </si>
  <si>
    <t>73.0[–]</t>
  </si>
  <si>
    <t>12.0[–]</t>
  </si>
  <si>
    <t>358.0[↑]**</t>
  </si>
  <si>
    <t>84.0[–]</t>
  </si>
  <si>
    <t>-23.0[–]</t>
  </si>
  <si>
    <t>23.0[–]</t>
  </si>
  <si>
    <t>77.0[–]</t>
  </si>
  <si>
    <t>158.0[↑]*</t>
  </si>
  <si>
    <t>-19.0[–]</t>
  </si>
  <si>
    <t>63.0[–]</t>
  </si>
  <si>
    <t>118.0[↑]*</t>
  </si>
  <si>
    <t>-152.0[↓]*</t>
  </si>
  <si>
    <t>148.0[–]</t>
  </si>
  <si>
    <t>70.0[–]</t>
  </si>
  <si>
    <t>-43.0[–]</t>
  </si>
  <si>
    <t>6.0[–]</t>
  </si>
  <si>
    <t>7.0[–]</t>
  </si>
  <si>
    <t>36.0[–]</t>
  </si>
  <si>
    <t>-38.0[–]</t>
  </si>
  <si>
    <t>-246.0[↓]*</t>
  </si>
  <si>
    <t>-26.0[–]</t>
  </si>
  <si>
    <t>-124.0[↓]**</t>
  </si>
  <si>
    <t>-54.0[–]</t>
  </si>
  <si>
    <t>26.0[–]</t>
  </si>
  <si>
    <t>-292.0[↓]***</t>
  </si>
  <si>
    <t>-35.0[–]</t>
  </si>
  <si>
    <t>174.0[↑]***</t>
  </si>
  <si>
    <t>27.0[–]</t>
  </si>
  <si>
    <t>95.0[↑]**</t>
  </si>
  <si>
    <t>140.0[↑]***</t>
  </si>
  <si>
    <t>86.0[↑]***</t>
  </si>
  <si>
    <t>162.0[↑]***</t>
  </si>
  <si>
    <t>391.0[↑]***</t>
  </si>
  <si>
    <t>660.0[↑]***</t>
  </si>
  <si>
    <t>374.0[↑]***</t>
  </si>
  <si>
    <t>1038.0[↑]***</t>
  </si>
  <si>
    <t>1624.0[↑]***</t>
  </si>
  <si>
    <t>-206.0[–]</t>
  </si>
  <si>
    <t>237.0[↑]***</t>
  </si>
  <si>
    <t>-7.0[–]</t>
  </si>
  <si>
    <t>-58.0[–]</t>
  </si>
  <si>
    <t>1300.0[↑]***</t>
  </si>
  <si>
    <t>-86.0[–]</t>
  </si>
  <si>
    <t>620.0[↑]***</t>
  </si>
  <si>
    <t>169.0[↑]***</t>
  </si>
  <si>
    <t>150.0[↑]***</t>
  </si>
  <si>
    <t>213.0[↑]***</t>
  </si>
  <si>
    <t>105.0[↑]***</t>
  </si>
  <si>
    <t>316.0[↑]***</t>
  </si>
  <si>
    <t>860.0[↑]***</t>
  </si>
  <si>
    <t>445.0[↑]***</t>
  </si>
  <si>
    <t>1069.0[↑]***</t>
  </si>
  <si>
    <t>-111.0[–]</t>
  </si>
  <si>
    <t>1247.0[↑]***</t>
  </si>
  <si>
    <t>41.0[↑]***</t>
  </si>
  <si>
    <t>215.0[↑]***</t>
  </si>
  <si>
    <t>943.0[↑]***</t>
  </si>
  <si>
    <t>404.0[↑]**</t>
  </si>
  <si>
    <t>-175.0[–]</t>
  </si>
  <si>
    <t>709.0[↑]***</t>
  </si>
  <si>
    <t>97.0[↑]**</t>
  </si>
  <si>
    <t>191.0[↑]***</t>
  </si>
  <si>
    <t>82.0[↑]**</t>
  </si>
  <si>
    <t>354.0[↑]***</t>
  </si>
  <si>
    <t>1024.0[↑]***</t>
  </si>
  <si>
    <t>446.0[↑]***</t>
  </si>
  <si>
    <t>1049.0[↑]***</t>
  </si>
  <si>
    <t>-637.0[↓]***</t>
  </si>
  <si>
    <t>2671.0[↑]***</t>
  </si>
  <si>
    <t>39.0[↑]**</t>
  </si>
  <si>
    <t>138.0[↑]***</t>
  </si>
  <si>
    <t>249.0[↑]***</t>
  </si>
  <si>
    <t>-208.0[↓]***</t>
  </si>
  <si>
    <t>619.0[↑]***</t>
  </si>
  <si>
    <t>926.0[↑]***</t>
  </si>
  <si>
    <t>-280.0[↓]***</t>
  </si>
  <si>
    <t>678.0[↑]***</t>
  </si>
  <si>
    <t>142.0[↑]***</t>
  </si>
  <si>
    <t>154.0[↑]***</t>
  </si>
  <si>
    <t>90.0[↑]***</t>
  </si>
  <si>
    <t>319.0[↑]***</t>
  </si>
  <si>
    <t>927.0[↑]***</t>
  </si>
  <si>
    <t>387.0[↑]***</t>
  </si>
  <si>
    <t>1028.0[↑]***</t>
  </si>
  <si>
    <t>-1588.0[↓]***</t>
  </si>
  <si>
    <t>1736.0[↑]***</t>
  </si>
  <si>
    <t>32.0[↑]**</t>
  </si>
  <si>
    <t>254.0[↑]***</t>
  </si>
  <si>
    <t>102.0[–]</t>
  </si>
  <si>
    <t>237.0[↑]*</t>
  </si>
  <si>
    <t>1099.0[↑]***</t>
  </si>
  <si>
    <t>566.0[↑]***</t>
  </si>
  <si>
    <t>160.0[↑]***</t>
  </si>
  <si>
    <t>84.0[↑]**</t>
  </si>
  <si>
    <t>56.0[↑]**</t>
  </si>
  <si>
    <t>207.0[↑]***</t>
  </si>
  <si>
    <t>952.0[↑]***</t>
  </si>
  <si>
    <t>373.0[↑]***</t>
  </si>
  <si>
    <t>808.0[↑]***</t>
  </si>
  <si>
    <t>-1063.0[↓]***</t>
  </si>
  <si>
    <t>2540.0[↑]***</t>
  </si>
  <si>
    <t>30.0[↑]**</t>
  </si>
  <si>
    <t>40.0[–]</t>
  </si>
  <si>
    <t>-13.0[–]</t>
  </si>
  <si>
    <t>225.0[↑]***</t>
  </si>
  <si>
    <t>779.0[↑]***</t>
  </si>
  <si>
    <t>1031.0[↑]***</t>
  </si>
  <si>
    <t>336.0[↑]***</t>
  </si>
  <si>
    <t>515.0[↑]***</t>
  </si>
  <si>
    <t>134.0[↑]**</t>
  </si>
  <si>
    <t>183.0[↑]***</t>
  </si>
  <si>
    <t>177.0[↑]***</t>
  </si>
  <si>
    <t>263.0[↑]***</t>
  </si>
  <si>
    <t>102.0[↑]***</t>
  </si>
  <si>
    <t>168.0[↑]***</t>
  </si>
  <si>
    <t>334.0[↑]***</t>
  </si>
  <si>
    <t>996.0[↑]***</t>
  </si>
  <si>
    <t>421.0[↑]***</t>
  </si>
  <si>
    <t>1118.0[↑]***</t>
  </si>
  <si>
    <t>468.0[↑]***</t>
  </si>
  <si>
    <t>-916.0[↓]***</t>
  </si>
  <si>
    <t>2391.0[↑]***</t>
  </si>
  <si>
    <t>46.0[↑]***</t>
  </si>
  <si>
    <t>99.0[↑]***</t>
  </si>
  <si>
    <t>287.0[↑]***</t>
  </si>
  <si>
    <t>302.0[↑]***</t>
  </si>
  <si>
    <t>551.0[↑]***</t>
  </si>
  <si>
    <t>1294.0[↑]***</t>
  </si>
  <si>
    <t>658.0[↑]***</t>
  </si>
  <si>
    <t>711.0[↑]***</t>
  </si>
  <si>
    <t>Project_names</t>
  </si>
  <si>
    <t>Release</t>
  </si>
  <si>
    <t>CommunitySmells</t>
  </si>
  <si>
    <t>SATD</t>
  </si>
  <si>
    <t>v1.0.0</t>
  </si>
  <si>
    <t>v1.1.0</t>
  </si>
  <si>
    <t>v7.0.18</t>
  </si>
  <si>
    <t>v9.0.0</t>
  </si>
  <si>
    <t>v9.1.0</t>
  </si>
  <si>
    <t>v10.0.0</t>
  </si>
  <si>
    <t>12.0.0</t>
  </si>
  <si>
    <t>12.3.0</t>
  </si>
  <si>
    <t>13.0.0</t>
  </si>
  <si>
    <t>13.1.1</t>
  </si>
  <si>
    <t>13.2.0</t>
  </si>
  <si>
    <t>13.3.0</t>
  </si>
  <si>
    <t>13.3.1</t>
  </si>
  <si>
    <t>13.3.2</t>
  </si>
  <si>
    <t>13.4.0</t>
  </si>
  <si>
    <t>13.5.0</t>
  </si>
  <si>
    <t>13.6.0</t>
  </si>
  <si>
    <t>13.7.0</t>
  </si>
  <si>
    <t>13.8.0</t>
  </si>
  <si>
    <t>13.9.0</t>
  </si>
  <si>
    <t>13.9.1</t>
  </si>
  <si>
    <t>13.9.2</t>
  </si>
  <si>
    <t>13.9.3</t>
  </si>
  <si>
    <t>13.10.0</t>
  </si>
  <si>
    <t>13.10.1</t>
  </si>
  <si>
    <t>13.10.2</t>
  </si>
  <si>
    <t>13.10.3</t>
  </si>
  <si>
    <t>13.10.4</t>
  </si>
  <si>
    <t>13.10.5</t>
  </si>
  <si>
    <t>13.10.6</t>
  </si>
  <si>
    <t>13.11.0</t>
  </si>
  <si>
    <t>13.11.1</t>
  </si>
  <si>
    <t>13.11.2</t>
  </si>
  <si>
    <t>13.11.3</t>
  </si>
  <si>
    <t>13.11.4</t>
  </si>
  <si>
    <t>14.0.0</t>
  </si>
  <si>
    <t>14.1.0</t>
  </si>
  <si>
    <t>14.1.1</t>
  </si>
  <si>
    <t>14.1.2</t>
  </si>
  <si>
    <t>14.2.0</t>
  </si>
  <si>
    <t>14.2.1</t>
  </si>
  <si>
    <t>14.3.0</t>
  </si>
  <si>
    <t>14.3.1</t>
  </si>
  <si>
    <t>14.4.0</t>
  </si>
  <si>
    <t>14.4.1</t>
  </si>
  <si>
    <t>14.4.2</t>
  </si>
  <si>
    <t>14.4.3</t>
  </si>
  <si>
    <t>14.4.4</t>
  </si>
  <si>
    <t>14.4.5</t>
  </si>
  <si>
    <t>14.5.0</t>
  </si>
  <si>
    <t>14.5.1</t>
  </si>
  <si>
    <t>14.5.2</t>
  </si>
  <si>
    <t>14.6.0</t>
  </si>
  <si>
    <t>14.7.0</t>
  </si>
  <si>
    <t>14.7.1</t>
  </si>
  <si>
    <t>14.8.0</t>
  </si>
  <si>
    <t>14.8.1</t>
  </si>
  <si>
    <t>14.8.2</t>
  </si>
  <si>
    <t>14.9.0</t>
  </si>
  <si>
    <t>14.10.0</t>
  </si>
  <si>
    <t>14.10.1</t>
  </si>
  <si>
    <t>14.11.0</t>
  </si>
  <si>
    <t>14.11.1</t>
  </si>
  <si>
    <t>14.11.2</t>
  </si>
  <si>
    <t>14.12.0</t>
  </si>
  <si>
    <t>14.13.0</t>
  </si>
  <si>
    <t>14.14.0</t>
  </si>
  <si>
    <t>14.14.1</t>
  </si>
  <si>
    <t>14.14.2</t>
  </si>
  <si>
    <t>14.14.3</t>
  </si>
  <si>
    <t>1.0.0</t>
  </si>
  <si>
    <t>2.0.0</t>
  </si>
  <si>
    <t>v3.0.0</t>
  </si>
  <si>
    <t>Project_name</t>
  </si>
  <si>
    <t>contributors</t>
  </si>
  <si>
    <t>Total_Smells</t>
  </si>
  <si>
    <t>plasticityai/magnitude</t>
  </si>
  <si>
    <t>go-ego/gse</t>
  </si>
  <si>
    <t>NUAA-AL/ALiPy</t>
  </si>
  <si>
    <t>LexPredict/lexpredict-lexnlp</t>
  </si>
  <si>
    <t>nok/sklearn-porter</t>
  </si>
  <si>
    <t>SuperCowPowers/bat</t>
  </si>
  <si>
    <t>pavlin-policar/openTSNE</t>
  </si>
  <si>
    <t>esimov/pigo</t>
  </si>
  <si>
    <t>materialsvirtuallab/megnet</t>
  </si>
  <si>
    <t>undertheseanlp/underthesea</t>
  </si>
  <si>
    <t>torchgan/torchgan</t>
  </si>
  <si>
    <t>loli/medpy</t>
  </si>
  <si>
    <t>Hironsan/anago</t>
  </si>
  <si>
    <t>modAL-python/modAL</t>
  </si>
  <si>
    <t>sebp/scikit-survival</t>
  </si>
  <si>
    <t>OlafenwaMoses/ImageAI</t>
  </si>
  <si>
    <t>Accenture/AmpliGraph</t>
  </si>
  <si>
    <t>fukuball/jieba-php</t>
  </si>
  <si>
    <t>shenweichen/DeepCTR</t>
  </si>
  <si>
    <t>qupath/qupath</t>
  </si>
  <si>
    <t>explosion/spacy-models</t>
  </si>
  <si>
    <t>philipperemy/keras-tcn</t>
  </si>
  <si>
    <t>explosion/sense2vec</t>
  </si>
  <si>
    <t>autonomio/talos</t>
  </si>
  <si>
    <t>HealthCatalyst/healthcareai-r</t>
  </si>
  <si>
    <t>Tiiiger/bert_score</t>
  </si>
  <si>
    <t>allenai/scispacy</t>
  </si>
  <si>
    <t>kelaberetiv/TagUI</t>
  </si>
  <si>
    <t>Drakkar-Software/OctoBot</t>
  </si>
  <si>
    <t>olivia-ai/olivia</t>
  </si>
  <si>
    <t>jeeliz/jeelizFaceFilter</t>
  </si>
  <si>
    <t>leon-ai/leon</t>
  </si>
  <si>
    <t>SMTorg/smt</t>
  </si>
  <si>
    <t>NeuroTechX/moabb</t>
  </si>
  <si>
    <t>maxpumperla/elephas</t>
  </si>
  <si>
    <t>alfredfrancis/ai-chatbot-framework</t>
  </si>
  <si>
    <t>openml/automlbenchmark</t>
  </si>
  <si>
    <t>mit-nlp/MITIE</t>
  </si>
  <si>
    <t>ironmussa/Optimus</t>
  </si>
  <si>
    <t>atomistic-machine-learning/schnetpack</t>
  </si>
  <si>
    <t>infinitered/nsfwjs</t>
  </si>
  <si>
    <t>DigitalSlideArchive/HistomicsTK</t>
  </si>
  <si>
    <t>cmusatyalab/openface</t>
  </si>
  <si>
    <t>microsoft/CameraTraps</t>
  </si>
  <si>
    <t>deepmind/dm_control</t>
  </si>
  <si>
    <t>microsoft/EconML</t>
  </si>
  <si>
    <t>microsoft/interpret</t>
  </si>
  <si>
    <t>RubixML/RubixML</t>
  </si>
  <si>
    <t>benfred/implicit</t>
  </si>
  <si>
    <t>sipeed/MaixPy</t>
  </si>
  <si>
    <t>tensorflow/ranking</t>
  </si>
  <si>
    <t>zhenghaoz/gorse</t>
  </si>
  <si>
    <t>PaddlePaddle/VisualDL</t>
  </si>
  <si>
    <t>bigartm/bigartm</t>
  </si>
  <si>
    <t>SmartDataAnalytics/PyKEEN</t>
  </si>
  <si>
    <t>IntelAI/OpenVINO-model-server</t>
  </si>
  <si>
    <t>brainiak/brainiak</t>
  </si>
  <si>
    <t>poldracklab/mriqc</t>
  </si>
  <si>
    <t>PaddlePaddle/LARK</t>
  </si>
  <si>
    <t>pyannote/pyannote-audio</t>
  </si>
  <si>
    <t>rtavenar/tslearn</t>
  </si>
  <si>
    <t>jsbroks/coco-annotator</t>
  </si>
  <si>
    <t>hankcs/HanLP</t>
  </si>
  <si>
    <t>yzhao062/pyod</t>
  </si>
  <si>
    <t>hellohaptik/chatbot_ner</t>
  </si>
  <si>
    <t>mne-tools/mne-cpp</t>
  </si>
  <si>
    <t>Hananel-Hazan/bindsnet</t>
  </si>
  <si>
    <t>openml/openml-python</t>
  </si>
  <si>
    <t>hls-fpga-machine-learning/hls4ml</t>
  </si>
  <si>
    <t>kermitt2/grobid</t>
  </si>
  <si>
    <t>ultralytics/yolov3</t>
  </si>
  <si>
    <t>openvenues/libpostal</t>
  </si>
  <si>
    <t>fastnlp/fastNLP</t>
  </si>
  <si>
    <t>mwydmuch/ViZDoom</t>
  </si>
  <si>
    <t>awslabs/mxnet-model-server</t>
  </si>
  <si>
    <t>tensorly/tensorly</t>
  </si>
  <si>
    <t>nyu-mll/jiant</t>
  </si>
  <si>
    <t>facebookresearch/habitat-sim</t>
  </si>
  <si>
    <t>rflamary/POT</t>
  </si>
  <si>
    <t>skorch-dev/skorch</t>
  </si>
  <si>
    <t>Angel-ML/angel</t>
  </si>
  <si>
    <t>Average</t>
  </si>
  <si>
    <t>Min</t>
  </si>
  <si>
    <t>Max</t>
  </si>
  <si>
    <t>std.dev</t>
  </si>
  <si>
    <t>median</t>
  </si>
  <si>
    <t>nubank/fklearn</t>
  </si>
  <si>
    <t>wkentaro/labelme</t>
  </si>
  <si>
    <t>facebookresearch/flashlight</t>
  </si>
  <si>
    <t>awslabs/sockeye</t>
  </si>
  <si>
    <t>neurodata/graspy</t>
  </si>
  <si>
    <t>zvtvz/zvt</t>
  </si>
  <si>
    <t>explosion/thinc</t>
  </si>
  <si>
    <t>intel/dffml</t>
  </si>
  <si>
    <t>axa-group/nlp.js</t>
  </si>
  <si>
    <t>microsoft/dowhy</t>
  </si>
  <si>
    <t>geomstats/geomstats</t>
  </si>
  <si>
    <t>scikit-learn-contrib/imbalanced-learn</t>
  </si>
  <si>
    <t>jmschrei/pomegranate</t>
  </si>
  <si>
    <t>scikit-optimize/scikit-optimize</t>
  </si>
  <si>
    <t>scikit-learn-contrib/hdbscan</t>
  </si>
  <si>
    <t>microsoft/MMdnn</t>
  </si>
  <si>
    <t>HazyResearch/snorkel</t>
  </si>
  <si>
    <t>WeBankFinTech/FATE</t>
  </si>
  <si>
    <t>mlr-org/mlr</t>
  </si>
  <si>
    <t>NVIDIA/DALI</t>
  </si>
  <si>
    <t>dmlc/gluon-nlp</t>
  </si>
  <si>
    <t>IntelAI/models</t>
  </si>
  <si>
    <t>rasbt/mlxtend</t>
  </si>
  <si>
    <t>chakki-works/doccano</t>
  </si>
  <si>
    <t>creme-ml/creme</t>
  </si>
  <si>
    <t>microsoft/pai</t>
  </si>
  <si>
    <t>ml5js/ml5-library</t>
  </si>
  <si>
    <t>gunthercox/ChatterBot</t>
  </si>
  <si>
    <t>Azure/mmlspark</t>
  </si>
  <si>
    <t>spencermountain/compromise</t>
  </si>
  <si>
    <t>IDSIA/sacred</t>
  </si>
  <si>
    <t>biolab/orange3</t>
  </si>
  <si>
    <t>AlexEMG/DeepLabCut</t>
  </si>
  <si>
    <t>CMU-Perceptual-Computing-Lab/openpose</t>
  </si>
  <si>
    <t>theislab/scanpy</t>
  </si>
  <si>
    <t>JohnSnowLabs/spark-nlp</t>
  </si>
  <si>
    <t>DistrictDataLabs/yellowbrick</t>
  </si>
  <si>
    <t>rapidsai/cuml</t>
  </si>
  <si>
    <t>uber/ludwig</t>
  </si>
  <si>
    <t>microsoft/Recognizers-Text</t>
  </si>
  <si>
    <t>pyro-ppl/pyro</t>
  </si>
  <si>
    <t>pytorch/text</t>
  </si>
  <si>
    <t>deepchem/deepchem</t>
  </si>
  <si>
    <t>SeldonIO/seldon-core</t>
  </si>
  <si>
    <t>MycroftAI/mycroft-core</t>
  </si>
  <si>
    <t>tesseract-ocr/tesseract</t>
  </si>
  <si>
    <t>nilearn/nilearn</t>
  </si>
  <si>
    <t>intel-analytics/BigDL</t>
  </si>
  <si>
    <t>OpenNMT/OpenNMT-py</t>
  </si>
  <si>
    <t>slundberg/shap</t>
  </si>
  <si>
    <t>pytorch/ignite</t>
  </si>
  <si>
    <t>dotnet/machinelearning</t>
  </si>
  <si>
    <t>catboost/catboost</t>
  </si>
  <si>
    <t>zalandoresearch/flair</t>
  </si>
  <si>
    <t>arraiyopensource/kornia</t>
  </si>
  <si>
    <t>espnet/espnet</t>
  </si>
  <si>
    <t>alan-turing-institute/sktime</t>
  </si>
  <si>
    <t>microsoft/AirSim</t>
  </si>
  <si>
    <t>VowpalWabbit/vowpal_wabbit</t>
  </si>
  <si>
    <t>tensorflow/tensor2tensor</t>
  </si>
  <si>
    <t>Tencent/ncnn</t>
  </si>
  <si>
    <t>dmlc/dgl</t>
  </si>
  <si>
    <t>allenai/allennlp</t>
  </si>
  <si>
    <t>BVLC/caffe</t>
  </si>
  <si>
    <t>microsoft/LightGBM</t>
  </si>
  <si>
    <t>opencv/opencv</t>
  </si>
  <si>
    <t>mne-tools/mne-python</t>
  </si>
  <si>
    <t>opencv/dldt</t>
  </si>
  <si>
    <t>microsoft/onnxruntime</t>
  </si>
  <si>
    <t>apache/incubator-mxnet</t>
  </si>
  <si>
    <t>RaRe-Technologies/gensim</t>
  </si>
  <si>
    <t>explosion/spaCy</t>
  </si>
  <si>
    <t>dmlc/xgboost</t>
  </si>
  <si>
    <t>pytorch/vision</t>
  </si>
  <si>
    <t>small</t>
  </si>
  <si>
    <t>medium</t>
  </si>
  <si>
    <t>large</t>
  </si>
  <si>
    <t>Date</t>
  </si>
  <si>
    <t>small-total-cs</t>
  </si>
  <si>
    <t>medium-total-cs</t>
  </si>
  <si>
    <t>large-total-cs</t>
  </si>
  <si>
    <t>v0.5.1</t>
  </si>
  <si>
    <t>v0.3.1</t>
  </si>
  <si>
    <t>v0.7.0</t>
  </si>
  <si>
    <t>v0.5.2</t>
  </si>
  <si>
    <t>v0.3.9</t>
  </si>
  <si>
    <t>v0.8.0</t>
  </si>
  <si>
    <t>v0.5.3</t>
  </si>
  <si>
    <t>v0.4.0</t>
  </si>
  <si>
    <t>v0.9.3</t>
  </si>
  <si>
    <t>v0.5.4</t>
  </si>
  <si>
    <t>v0.9.5</t>
  </si>
  <si>
    <t>v0.5.5</t>
  </si>
  <si>
    <t>v0.10.0</t>
  </si>
  <si>
    <t>v0.5.6</t>
  </si>
  <si>
    <t>0.11.0</t>
  </si>
  <si>
    <t>v0.5.7</t>
  </si>
  <si>
    <t>0.12.0</t>
  </si>
  <si>
    <t>v0.5.8</t>
  </si>
  <si>
    <t>0.12.1</t>
  </si>
  <si>
    <t>v0.5.9</t>
  </si>
  <si>
    <t>v0.6.0</t>
  </si>
  <si>
    <t>1.1.0</t>
  </si>
  <si>
    <t>v0.6.1</t>
  </si>
  <si>
    <t>1.2.0</t>
  </si>
  <si>
    <t>v0.6.2</t>
  </si>
  <si>
    <t>1.2.1</t>
  </si>
  <si>
    <t>v0.6.3</t>
  </si>
  <si>
    <t>1.3.0</t>
  </si>
  <si>
    <t>v0.6.4</t>
  </si>
  <si>
    <t>1.3.1</t>
  </si>
  <si>
    <t>1.4.0</t>
  </si>
  <si>
    <t>v0.7.1</t>
  </si>
  <si>
    <t>1.4.1</t>
  </si>
  <si>
    <t>v0.7.2</t>
  </si>
  <si>
    <t>1.5.0</t>
  </si>
  <si>
    <t>v0.7.3</t>
  </si>
  <si>
    <t>1.5.1</t>
  </si>
  <si>
    <t>v0.7.4</t>
  </si>
  <si>
    <t>1.6.0</t>
  </si>
  <si>
    <t>v0.7.5</t>
  </si>
  <si>
    <t>1.7.0</t>
  </si>
  <si>
    <t>v0.7.6</t>
  </si>
  <si>
    <t>v2.0.0.alpha.rc0</t>
  </si>
  <si>
    <t>v2.0.0.alpha.rc1</t>
  </si>
  <si>
    <t>v0.8.1</t>
  </si>
  <si>
    <t>v2.0.0.alpha.rc2</t>
  </si>
  <si>
    <t>v0.8.2</t>
  </si>
  <si>
    <t>v2.0.0.alpha.rc3</t>
  </si>
  <si>
    <t>v0.8.3</t>
  </si>
  <si>
    <t>1.8.0</t>
  </si>
  <si>
    <t>v0.9.0</t>
  </si>
  <si>
    <t>1.9.0</t>
  </si>
  <si>
    <t>2.0.0.beta1.rc0</t>
  </si>
  <si>
    <t>v0.5.0</t>
  </si>
  <si>
    <t>2.0.0.beta1.rc1</t>
  </si>
  <si>
    <t>2.0.0.beta1</t>
  </si>
  <si>
    <t>1.9.1.rc0</t>
  </si>
  <si>
    <t>v0.9</t>
  </si>
  <si>
    <t>v0.10</t>
  </si>
  <si>
    <t>v0.11</t>
  </si>
  <si>
    <t>v0.12</t>
  </si>
  <si>
    <t>v0.13</t>
  </si>
  <si>
    <t>v0.14</t>
  </si>
  <si>
    <t>v0.15</t>
  </si>
  <si>
    <t>v0.15.1</t>
  </si>
  <si>
    <t>v0.16</t>
  </si>
  <si>
    <t>v0.17</t>
  </si>
  <si>
    <t>v0.18rc0</t>
  </si>
  <si>
    <t>v0.18.1</t>
  </si>
  <si>
    <t>v0.19.0</t>
  </si>
  <si>
    <t>v0.19.1</t>
  </si>
  <si>
    <t>v0.20.0</t>
  </si>
  <si>
    <t>v0.10.1</t>
  </si>
  <si>
    <t>v0.20.1</t>
  </si>
  <si>
    <t>v0.10.2</t>
  </si>
  <si>
    <t>v0.20.2</t>
  </si>
  <si>
    <t>v0.10.3</t>
  </si>
  <si>
    <t>v0.20.3</t>
  </si>
  <si>
    <t>v0.10.4</t>
  </si>
  <si>
    <t>v0.20.4</t>
  </si>
  <si>
    <t>v0.10.5</t>
  </si>
  <si>
    <t>v0.20.5</t>
  </si>
  <si>
    <t>v0.10.6</t>
  </si>
  <si>
    <t>v0.20.6</t>
  </si>
  <si>
    <t>v0.11.0</t>
  </si>
  <si>
    <t>v0.20.7</t>
  </si>
  <si>
    <t>V0.1</t>
  </si>
  <si>
    <t>v0.20.8</t>
  </si>
  <si>
    <t>V0.1.3</t>
  </si>
  <si>
    <t>v0.21.0</t>
  </si>
  <si>
    <t>V0.1.4</t>
  </si>
  <si>
    <t>v0.21.1</t>
  </si>
  <si>
    <t>V0.1.6</t>
  </si>
  <si>
    <t>v0.21.2</t>
  </si>
  <si>
    <t>V0.1.7</t>
  </si>
  <si>
    <t>v0.22.0</t>
  </si>
  <si>
    <t>V0.1.9</t>
  </si>
  <si>
    <t>v0.22.1</t>
  </si>
  <si>
    <t>V0.1.9.1</t>
  </si>
  <si>
    <t>v0.23.0</t>
  </si>
  <si>
    <t>V0.1.10</t>
  </si>
  <si>
    <t>v0.23.1</t>
  </si>
  <si>
    <t>V0.1.11</t>
  </si>
  <si>
    <t>v0.23.3</t>
  </si>
  <si>
    <t>V0.1.12</t>
  </si>
  <si>
    <t>v0.23.4</t>
  </si>
  <si>
    <t>V0.2</t>
  </si>
  <si>
    <t>v0.24.0</t>
  </si>
  <si>
    <t>v0.24.1</t>
  </si>
  <si>
    <t>0.3.1</t>
  </si>
  <si>
    <t>v1.0.2</t>
  </si>
  <si>
    <t>0.4.0</t>
  </si>
  <si>
    <t>v1.0.3</t>
  </si>
  <si>
    <t>0.5.0</t>
  </si>
  <si>
    <t>0.6.0</t>
  </si>
  <si>
    <t>v1.1.1</t>
  </si>
  <si>
    <t>0.7.0-beta0</t>
  </si>
  <si>
    <t>v1.2.0</t>
  </si>
  <si>
    <t>0.7.0</t>
  </si>
  <si>
    <t>v1.2.1</t>
  </si>
  <si>
    <t>0.8.0</t>
  </si>
  <si>
    <t>v1.2.2</t>
  </si>
  <si>
    <t>0.8.1</t>
  </si>
  <si>
    <t>v1.2.3</t>
  </si>
  <si>
    <t>0.8.1.0</t>
  </si>
  <si>
    <t>v1.3.0</t>
  </si>
  <si>
    <t>0.8.2</t>
  </si>
  <si>
    <t>v1.3.1</t>
  </si>
  <si>
    <t>0.9.0</t>
  </si>
  <si>
    <t>v1.4.0</t>
  </si>
  <si>
    <t>0.9.1</t>
  </si>
  <si>
    <t>0.4.2</t>
  </si>
  <si>
    <t>v1.4.2</t>
  </si>
  <si>
    <t>0.9.2</t>
  </si>
  <si>
    <t>v1.5.0</t>
  </si>
  <si>
    <t>0.9.3</t>
  </si>
  <si>
    <t>v1.5.1</t>
  </si>
  <si>
    <t>0.9.4</t>
  </si>
  <si>
    <t>0.6.2</t>
  </si>
  <si>
    <t>v1.6.0</t>
  </si>
  <si>
    <t>v0.0.26</t>
  </si>
  <si>
    <t>0.6.3</t>
  </si>
  <si>
    <t>v1.6.1</t>
  </si>
  <si>
    <t>0.6.4</t>
  </si>
  <si>
    <t>v1.7.0</t>
  </si>
  <si>
    <t>v1.0.1</t>
  </si>
  <si>
    <t>v1.7.1</t>
  </si>
  <si>
    <t>0.7.1</t>
  </si>
  <si>
    <t>v1.8.0</t>
  </si>
  <si>
    <t>0.7.2</t>
  </si>
  <si>
    <t>v1.0.4</t>
  </si>
  <si>
    <t>0.7.3</t>
  </si>
  <si>
    <t>v0.19.2</t>
  </si>
  <si>
    <t>v1.0.5</t>
  </si>
  <si>
    <t>V0.19.3</t>
  </si>
  <si>
    <t>v0.19.4</t>
  </si>
  <si>
    <t>v0.19.5</t>
  </si>
  <si>
    <t>0.8.3</t>
  </si>
  <si>
    <t>0.8.4</t>
  </si>
  <si>
    <t>0.8.5</t>
  </si>
  <si>
    <t>0.8.6</t>
  </si>
  <si>
    <t>0.8.8</t>
  </si>
  <si>
    <t>v1.8.1</t>
  </si>
  <si>
    <t>0.8.8.1</t>
  </si>
  <si>
    <t>v1.8.2</t>
  </si>
  <si>
    <t>0.8.9</t>
  </si>
  <si>
    <t>v0.22.2</t>
  </si>
  <si>
    <t>v1.9.0</t>
  </si>
  <si>
    <t>0.8.10</t>
  </si>
  <si>
    <t>v0.22.3</t>
  </si>
  <si>
    <t>v1.10.0</t>
  </si>
  <si>
    <t>0.8.11</t>
  </si>
  <si>
    <t>0.23.0</t>
  </si>
  <si>
    <t>v1.10.1</t>
  </si>
  <si>
    <t>0.8.12</t>
  </si>
  <si>
    <t>0.23.1</t>
  </si>
  <si>
    <t>v1.10.2</t>
  </si>
  <si>
    <t>0.8.13</t>
  </si>
  <si>
    <t>0.24.0</t>
  </si>
  <si>
    <t>0.8.14</t>
  </si>
  <si>
    <t>0.25.0</t>
  </si>
  <si>
    <t>0.8.15</t>
  </si>
  <si>
    <t>0.25.1</t>
  </si>
  <si>
    <t>0.8.16</t>
  </si>
  <si>
    <t>0.25.2</t>
  </si>
  <si>
    <t>0.8.17</t>
  </si>
  <si>
    <t>0.26.0</t>
  </si>
  <si>
    <t>0.8.18</t>
  </si>
  <si>
    <t>0.27.0</t>
  </si>
  <si>
    <t>0.8.19</t>
  </si>
  <si>
    <t>0.28.0</t>
  </si>
  <si>
    <t>0.8.20</t>
  </si>
  <si>
    <t>0.28.1</t>
  </si>
  <si>
    <t>0.8.23</t>
  </si>
  <si>
    <t>0.28.2</t>
  </si>
  <si>
    <t>0.8.24</t>
  </si>
  <si>
    <t>0.28.3</t>
  </si>
  <si>
    <t>0.8.26</t>
  </si>
  <si>
    <t>0.28.4</t>
  </si>
  <si>
    <t>0.8.27</t>
  </si>
  <si>
    <t>0.28.5</t>
  </si>
  <si>
    <t>0.8.28</t>
  </si>
  <si>
    <t>0.29.1</t>
  </si>
  <si>
    <t>0.8.28.wheels</t>
  </si>
  <si>
    <t>0.29.2</t>
  </si>
  <si>
    <t>0.8.29</t>
  </si>
  <si>
    <t>0.29.3</t>
  </si>
  <si>
    <t>0.8.29-1</t>
  </si>
  <si>
    <t>0.30.0</t>
  </si>
  <si>
    <t>0.8.31</t>
  </si>
  <si>
    <t>0.30.1</t>
  </si>
  <si>
    <t>0.8.32</t>
  </si>
  <si>
    <t>0.30.2</t>
  </si>
  <si>
    <t>0.8.33</t>
  </si>
  <si>
    <t>0.31.0</t>
  </si>
  <si>
    <t>release-0.8.34-rc1</t>
  </si>
  <si>
    <t>0.32.0</t>
  </si>
  <si>
    <t>release-0.8.35</t>
  </si>
  <si>
    <t>0.32.1</t>
  </si>
  <si>
    <t>release-0.8.36</t>
  </si>
  <si>
    <t>0.33.0</t>
  </si>
  <si>
    <t>release-0.8.37</t>
  </si>
  <si>
    <t>0.34.0</t>
  </si>
  <si>
    <t>release-0.8.38</t>
  </si>
  <si>
    <t>0.35.0</t>
  </si>
  <si>
    <t>release-0.8.38-1</t>
  </si>
  <si>
    <t>v0.36.0</t>
  </si>
  <si>
    <t>release-0.8.38-2</t>
  </si>
  <si>
    <t>v0.37.0</t>
  </si>
  <si>
    <t>release-0.8.38.post2</t>
  </si>
  <si>
    <t>v0.38.0</t>
  </si>
  <si>
    <t>release-0.8.39</t>
  </si>
  <si>
    <t>v0.38.1</t>
  </si>
  <si>
    <t>v0.1.0</t>
  </si>
  <si>
    <t>v0.39.0</t>
  </si>
  <si>
    <t>v0.1.1</t>
  </si>
  <si>
    <t>v0.40.0</t>
  </si>
  <si>
    <t>v0.1.2</t>
  </si>
  <si>
    <t>v0.41.0</t>
  </si>
  <si>
    <t>v0.2</t>
  </si>
  <si>
    <t>v0.42.0</t>
  </si>
  <si>
    <t>v0.2.1</t>
  </si>
  <si>
    <t>v0.42.1</t>
  </si>
  <si>
    <t>v0.2.2</t>
  </si>
  <si>
    <t>v0.43.0</t>
  </si>
  <si>
    <t>v0.3</t>
  </si>
  <si>
    <t>v0.44.0</t>
  </si>
  <si>
    <t>v0.44.1</t>
  </si>
  <si>
    <t>v0.3.2</t>
  </si>
  <si>
    <t>v0.45.0</t>
  </si>
  <si>
    <t>v0.3.3</t>
  </si>
  <si>
    <t>v0.45.1</t>
  </si>
  <si>
    <t>v0.4</t>
  </si>
  <si>
    <t>v0.46.0</t>
  </si>
  <si>
    <t>v0.4.1</t>
  </si>
  <si>
    <t>v0.47.0</t>
  </si>
  <si>
    <t>v0.5rc1</t>
  </si>
  <si>
    <t>3.04.00</t>
  </si>
  <si>
    <t>v0.5rc2</t>
  </si>
  <si>
    <t>3.04.01</t>
  </si>
  <si>
    <t>v0.5</t>
  </si>
  <si>
    <t>3.05.00</t>
  </si>
  <si>
    <t>3.05.01</t>
  </si>
  <si>
    <t>3.05.02</t>
  </si>
  <si>
    <t>4.0.0</t>
  </si>
  <si>
    <t>4.1.0</t>
  </si>
  <si>
    <t>4.1.1</t>
  </si>
  <si>
    <t>v0.6.beta</t>
  </si>
  <si>
    <t>5.0.0-alpha-20201224</t>
  </si>
  <si>
    <t>v0.6rc1</t>
  </si>
  <si>
    <t>5.0.0-alpha-20201231</t>
  </si>
  <si>
    <t>v0.6</t>
  </si>
  <si>
    <t>5.0.0-alpha-20210401</t>
  </si>
  <si>
    <t>5.0.0-beta-20210815</t>
  </si>
  <si>
    <t>5.0.0-beta-20210916</t>
  </si>
  <si>
    <t>5.0.0-rc1</t>
  </si>
  <si>
    <t>4.1.2</t>
  </si>
  <si>
    <t>v0.7.beta</t>
  </si>
  <si>
    <t>5.0.0-rc2</t>
  </si>
  <si>
    <t>v0.7</t>
  </si>
  <si>
    <t>4.1.3</t>
  </si>
  <si>
    <t>5.0.0-rc3</t>
  </si>
  <si>
    <t>5.0.0</t>
  </si>
  <si>
    <t>5.0.1</t>
  </si>
  <si>
    <t>5.1.0</t>
  </si>
  <si>
    <t>5.2.0</t>
  </si>
  <si>
    <t>v0.8</t>
  </si>
  <si>
    <t>5.3.0-rc1</t>
  </si>
  <si>
    <t>5.3.0</t>
  </si>
  <si>
    <t>v0.8.1.post1</t>
  </si>
  <si>
    <t>5.3.1</t>
  </si>
  <si>
    <t>5.3.2</t>
  </si>
  <si>
    <t>5.3.3</t>
  </si>
  <si>
    <t>v0.8.4</t>
  </si>
  <si>
    <t>5.3.4</t>
  </si>
  <si>
    <t>v0.8.5</t>
  </si>
  <si>
    <t>5.4.0-rc1</t>
  </si>
  <si>
    <t>v0.8.6</t>
  </si>
  <si>
    <t>5.4.0-rc2</t>
  </si>
  <si>
    <t>v0.9.1</t>
  </si>
  <si>
    <t>5.4.0</t>
  </si>
  <si>
    <t>v0.9.2</t>
  </si>
  <si>
    <t>5.4.1</t>
  </si>
  <si>
    <t>0.1.0</t>
  </si>
  <si>
    <t>0.1.1</t>
  </si>
  <si>
    <t>0.1.2</t>
  </si>
  <si>
    <t>0.2.0</t>
  </si>
  <si>
    <t>0.2.1</t>
  </si>
  <si>
    <t>0.3.0</t>
  </si>
  <si>
    <t>0.3.2</t>
  </si>
  <si>
    <t>0.3.3</t>
  </si>
  <si>
    <t>0.3.4</t>
  </si>
  <si>
    <t>0.4.1</t>
  </si>
  <si>
    <t>0.5.1</t>
  </si>
  <si>
    <t>1.5.2</t>
  </si>
  <si>
    <t>1.8.1</t>
  </si>
  <si>
    <t>1.8.2</t>
  </si>
  <si>
    <t>1.8.3</t>
  </si>
  <si>
    <t>1.8.4</t>
  </si>
  <si>
    <t>1.8.5</t>
  </si>
  <si>
    <t>1.8.6</t>
  </si>
  <si>
    <t>File</t>
  </si>
  <si>
    <t>Smell</t>
  </si>
  <si>
    <t>Correlation</t>
  </si>
  <si>
    <t>P-value</t>
  </si>
  <si>
    <t>Significant</t>
  </si>
  <si>
    <t>incubator-mxnet_cs+satd.csv</t>
  </si>
  <si>
    <t>❌</t>
  </si>
  <si>
    <t>✅</t>
  </si>
  <si>
    <t>compromise_cs+satd.csv</t>
  </si>
  <si>
    <t>mne-python_cs+satd.csv</t>
  </si>
  <si>
    <t>tesseract_cs+satd.csv</t>
  </si>
  <si>
    <t>coco-annotator_cs+satd.csv</t>
  </si>
  <si>
    <t>ludwig_cs+satd.csv</t>
  </si>
  <si>
    <t>pyro_cs+satd.csv</t>
  </si>
  <si>
    <t>bigartm_cs+satd.csv</t>
  </si>
  <si>
    <t>PyKEEN_cs+satd.csv</t>
  </si>
  <si>
    <t>shap_cs+satd.csv</t>
  </si>
  <si>
    <t>POT_cs+satd.csv</t>
  </si>
  <si>
    <t>hdbscan_cs+satd.csv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</si>
</sst>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3" fontId="1" numFmtId="2" xfId="0" applyAlignment="1" applyFill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3" fontId="1" numFmtId="1" xfId="0" applyAlignment="1" applyFont="1" applyNumberFormat="1">
      <alignment horizontal="right" readingOrder="0" vertical="bottom"/>
    </xf>
    <xf borderId="0" fillId="3" fontId="1" numFmtId="2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4" fontId="1" numFmtId="0" xfId="0" applyAlignment="1" applyFill="1" applyFont="1">
      <alignment horizontal="right" vertical="bottom"/>
    </xf>
    <xf borderId="0" fillId="3" fontId="1" numFmtId="2" xfId="0" applyAlignment="1" applyFont="1" applyNumberFormat="1">
      <alignment readingOrder="0" vertical="bottom"/>
    </xf>
    <xf borderId="0" fillId="0" fontId="3" numFmtId="2" xfId="0" applyFont="1" applyNumberFormat="1"/>
    <xf borderId="0" fillId="0" fontId="3" numFmtId="1" xfId="0" applyAlignment="1" applyFont="1" applyNumberFormat="1">
      <alignment readingOrder="0"/>
    </xf>
    <xf borderId="0" fillId="0" fontId="3" numFmtId="1" xfId="0" applyFont="1" applyNumberFormat="1"/>
    <xf borderId="0" fillId="5" fontId="1" numFmtId="0" xfId="0" applyAlignment="1" applyFill="1" applyFont="1">
      <alignment vertical="bottom"/>
    </xf>
    <xf borderId="0" fillId="5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5" fontId="1" numFmtId="164" xfId="0" applyAlignment="1" applyFont="1" applyNumberFormat="1">
      <alignment horizontal="right" vertical="bottom"/>
    </xf>
    <xf borderId="0" fillId="5" fontId="1" numFmtId="0" xfId="0" applyAlignment="1" applyFont="1">
      <alignment horizontal="right" vertical="bottom"/>
    </xf>
    <xf borderId="0" fillId="0" fontId="3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3" numFmtId="11" xfId="0" applyAlignment="1" applyFont="1" applyNumberForma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CommunitySmells and SATD</a:t>
            </a:r>
          </a:p>
        </c:rich>
      </c:tx>
      <c:overlay val="0"/>
    </c:title>
    <c:plotArea>
      <c:layout/>
      <c:lineChart>
        <c:axId val="376556001"/>
        <c:axId val="255401015"/>
      </c:lineChart>
      <c:catAx>
        <c:axId val="37655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Release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401015"/>
      </c:catAx>
      <c:valAx>
        <c:axId val="25540101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76556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CommunitySmells and SATD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Discussion3!$C$1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10"/>
            </c:marker>
          </c:dPt>
          <c:dPt>
            <c:idx val="3"/>
            <c:marker>
              <c:symbol val="circle"/>
              <c:size val="10"/>
            </c:marker>
          </c:dPt>
          <c:dPt>
            <c:idx val="5"/>
            <c:marker>
              <c:symbol val="circle"/>
              <c:size val="10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dPt>
            <c:idx val="6"/>
            <c:marker>
              <c:symbol val="circle"/>
              <c:size val="10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dPt>
            <c:idx val="8"/>
            <c:marker>
              <c:symbol val="circle"/>
              <c:size val="10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dPt>
            <c:idx val="35"/>
            <c:marker>
              <c:symbol val="circle"/>
              <c:size val="10"/>
              <c:spPr>
                <a:solidFill>
                  <a:srgbClr val="4285F4"/>
                </a:solidFill>
                <a:ln cmpd="sng">
                  <a:solidFill>
                    <a:srgbClr val="4285F4"/>
                  </a:solidFill>
                </a:ln>
              </c:spPr>
            </c:marker>
          </c:dPt>
          <c:cat>
            <c:strRef>
              <c:f>Discussion3!$B$2:$B$37</c:f>
            </c:strRef>
          </c:cat>
          <c:val>
            <c:numRef>
              <c:f>Discussion3!$C$2:$C$37</c:f>
              <c:numCache/>
            </c:numRef>
          </c:val>
          <c:smooth val="1"/>
        </c:ser>
        <c:ser>
          <c:idx val="1"/>
          <c:order val="1"/>
          <c:tx>
            <c:strRef>
              <c:f>Discussion3!$D$1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10"/>
            </c:marker>
          </c:dPt>
          <c:dPt>
            <c:idx val="3"/>
            <c:marker>
              <c:symbol val="circle"/>
              <c:size val="10"/>
              <c:spPr>
                <a:solidFill>
                  <a:srgbClr val="EA4335"/>
                </a:solidFill>
                <a:ln cmpd="sng">
                  <a:solidFill>
                    <a:srgbClr val="EA4335"/>
                  </a:solidFill>
                </a:ln>
              </c:spPr>
            </c:marker>
          </c:dPt>
          <c:dPt>
            <c:idx val="5"/>
            <c:marker>
              <c:symbol val="circle"/>
              <c:size val="10"/>
              <c:spPr>
                <a:solidFill>
                  <a:srgbClr val="EA4335"/>
                </a:solidFill>
                <a:ln cmpd="sng">
                  <a:solidFill>
                    <a:srgbClr val="EA4335"/>
                  </a:solidFill>
                </a:ln>
              </c:spPr>
            </c:marker>
          </c:dPt>
          <c:dPt>
            <c:idx val="6"/>
            <c:marker>
              <c:symbol val="circle"/>
              <c:size val="10"/>
              <c:spPr>
                <a:solidFill>
                  <a:srgbClr val="EA4335"/>
                </a:solidFill>
                <a:ln cmpd="sng">
                  <a:solidFill>
                    <a:srgbClr val="EA4335"/>
                  </a:solidFill>
                </a:ln>
              </c:spPr>
            </c:marker>
          </c:dPt>
          <c:dPt>
            <c:idx val="8"/>
            <c:marker>
              <c:symbol val="circle"/>
              <c:size val="10"/>
              <c:spPr>
                <a:solidFill>
                  <a:srgbClr val="EA4335"/>
                </a:solidFill>
                <a:ln cmpd="sng">
                  <a:solidFill>
                    <a:srgbClr val="EA4335"/>
                  </a:solidFill>
                </a:ln>
              </c:spPr>
            </c:marker>
          </c:dPt>
          <c:dPt>
            <c:idx val="35"/>
            <c:marker>
              <c:symbol val="circle"/>
              <c:size val="10"/>
            </c:marker>
          </c:dPt>
          <c:cat>
            <c:strRef>
              <c:f>Discussion3!$B$2:$B$37</c:f>
            </c:strRef>
          </c:cat>
          <c:val>
            <c:numRef>
              <c:f>Discussion3!$D$2:$D$37</c:f>
              <c:numCache/>
            </c:numRef>
          </c:val>
          <c:smooth val="1"/>
        </c:ser>
        <c:axId val="520263959"/>
        <c:axId val="1538851284"/>
      </c:lineChart>
      <c:catAx>
        <c:axId val="520263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Release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851284"/>
      </c:catAx>
      <c:valAx>
        <c:axId val="1538851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263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67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800100</xdr:colOff>
      <xdr:row>3</xdr:row>
      <xdr:rowOff>114300</xdr:rowOff>
    </xdr:from>
    <xdr:ext cx="8077200" cy="4991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2"/>
      <c r="E1" s="2"/>
      <c r="F1" s="2"/>
      <c r="G1" s="2"/>
      <c r="H1" s="2"/>
      <c r="I1" s="3"/>
      <c r="J1" s="4" t="s">
        <v>1</v>
      </c>
      <c r="K1" s="2"/>
      <c r="L1" s="2"/>
      <c r="M1" s="2"/>
      <c r="N1" s="2"/>
      <c r="O1" s="2"/>
      <c r="P1" s="2"/>
      <c r="Q1" s="3"/>
      <c r="R1" s="4" t="s">
        <v>2</v>
      </c>
      <c r="S1" s="2"/>
      <c r="T1" s="2"/>
      <c r="U1" s="2"/>
      <c r="V1" s="2"/>
      <c r="W1" s="3"/>
    </row>
    <row r="2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</row>
    <row r="3">
      <c r="B3" s="7" t="s">
        <v>25</v>
      </c>
      <c r="C3" s="7" t="s">
        <v>26</v>
      </c>
      <c r="D3" s="7" t="s">
        <v>27</v>
      </c>
      <c r="E3" s="7" t="s">
        <v>28</v>
      </c>
      <c r="F3" s="8" t="s">
        <v>29</v>
      </c>
      <c r="G3" s="7" t="s">
        <v>30</v>
      </c>
      <c r="H3" s="7" t="s">
        <v>31</v>
      </c>
      <c r="I3" s="7" t="s">
        <v>32</v>
      </c>
      <c r="J3" s="9" t="s">
        <v>33</v>
      </c>
      <c r="K3" s="9" t="s">
        <v>34</v>
      </c>
      <c r="L3" s="9" t="s">
        <v>35</v>
      </c>
      <c r="M3" s="8" t="s">
        <v>36</v>
      </c>
      <c r="N3" s="9" t="s">
        <v>37</v>
      </c>
      <c r="O3" s="10" t="s">
        <v>38</v>
      </c>
      <c r="P3" s="9" t="s">
        <v>39</v>
      </c>
      <c r="Q3" s="9" t="s">
        <v>40</v>
      </c>
      <c r="R3" s="9" t="s">
        <v>41</v>
      </c>
      <c r="S3" s="9" t="s">
        <v>42</v>
      </c>
      <c r="T3" s="9" t="s">
        <v>43</v>
      </c>
      <c r="U3" s="9" t="s">
        <v>44</v>
      </c>
      <c r="V3" s="9" t="s">
        <v>45</v>
      </c>
      <c r="W3" s="9" t="s">
        <v>46</v>
      </c>
    </row>
    <row r="4">
      <c r="A4" s="11" t="s">
        <v>47</v>
      </c>
      <c r="B4" s="8" t="s">
        <v>48</v>
      </c>
      <c r="C4" s="8" t="s">
        <v>49</v>
      </c>
      <c r="D4" s="8" t="s">
        <v>50</v>
      </c>
      <c r="E4" s="8" t="s">
        <v>51</v>
      </c>
      <c r="F4" s="8" t="s">
        <v>52</v>
      </c>
      <c r="G4" s="8" t="s">
        <v>53</v>
      </c>
      <c r="H4" s="8" t="s">
        <v>54</v>
      </c>
      <c r="I4" s="8" t="s">
        <v>55</v>
      </c>
      <c r="J4" s="11" t="s">
        <v>56</v>
      </c>
      <c r="K4" s="11" t="s">
        <v>57</v>
      </c>
      <c r="L4" s="11" t="s">
        <v>58</v>
      </c>
      <c r="M4" s="8" t="s">
        <v>59</v>
      </c>
      <c r="N4" s="11" t="s">
        <v>60</v>
      </c>
      <c r="O4" s="8" t="s">
        <v>61</v>
      </c>
      <c r="P4" s="11" t="s">
        <v>62</v>
      </c>
      <c r="Q4" s="11" t="s">
        <v>52</v>
      </c>
      <c r="R4" s="11" t="s">
        <v>63</v>
      </c>
      <c r="S4" s="11" t="s">
        <v>64</v>
      </c>
      <c r="T4" s="11" t="s">
        <v>65</v>
      </c>
      <c r="U4" s="11" t="s">
        <v>66</v>
      </c>
      <c r="V4" s="11" t="s">
        <v>67</v>
      </c>
      <c r="W4" s="11" t="s">
        <v>68</v>
      </c>
    </row>
    <row r="5">
      <c r="A5" s="11" t="s">
        <v>69</v>
      </c>
      <c r="B5" s="8" t="s">
        <v>70</v>
      </c>
      <c r="C5" s="8" t="s">
        <v>52</v>
      </c>
      <c r="D5" s="8" t="s">
        <v>71</v>
      </c>
      <c r="E5" s="8" t="s">
        <v>72</v>
      </c>
      <c r="F5" s="8" t="s">
        <v>73</v>
      </c>
      <c r="G5" s="8" t="s">
        <v>52</v>
      </c>
      <c r="H5" s="8" t="s">
        <v>52</v>
      </c>
      <c r="I5" s="8" t="s">
        <v>74</v>
      </c>
      <c r="J5" s="11" t="s">
        <v>75</v>
      </c>
      <c r="K5" s="11" t="s">
        <v>76</v>
      </c>
      <c r="L5" s="11" t="s">
        <v>52</v>
      </c>
      <c r="M5" s="8" t="s">
        <v>77</v>
      </c>
      <c r="N5" s="11" t="s">
        <v>78</v>
      </c>
      <c r="O5" s="8" t="s">
        <v>52</v>
      </c>
      <c r="P5" s="11" t="s">
        <v>57</v>
      </c>
      <c r="Q5" s="11" t="s">
        <v>79</v>
      </c>
      <c r="R5" s="11" t="s">
        <v>80</v>
      </c>
      <c r="S5" s="11" t="s">
        <v>81</v>
      </c>
      <c r="T5" s="11" t="s">
        <v>82</v>
      </c>
      <c r="U5" s="11" t="s">
        <v>83</v>
      </c>
      <c r="V5" s="11" t="s">
        <v>84</v>
      </c>
      <c r="W5" s="11" t="s">
        <v>85</v>
      </c>
    </row>
    <row r="6">
      <c r="A6" s="11" t="s">
        <v>86</v>
      </c>
      <c r="B6" s="8" t="s">
        <v>52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48</v>
      </c>
      <c r="H6" s="8" t="s">
        <v>52</v>
      </c>
      <c r="I6" s="8" t="s">
        <v>52</v>
      </c>
      <c r="J6" s="11" t="s">
        <v>52</v>
      </c>
      <c r="K6" s="11" t="s">
        <v>52</v>
      </c>
      <c r="L6" s="11" t="s">
        <v>52</v>
      </c>
      <c r="M6" s="8" t="s">
        <v>52</v>
      </c>
      <c r="N6" s="11" t="s">
        <v>52</v>
      </c>
      <c r="O6" s="8" t="s">
        <v>52</v>
      </c>
      <c r="P6" s="11" t="s">
        <v>87</v>
      </c>
      <c r="Q6" s="11" t="s">
        <v>52</v>
      </c>
      <c r="R6" s="11" t="s">
        <v>88</v>
      </c>
      <c r="S6" s="11" t="s">
        <v>52</v>
      </c>
      <c r="T6" s="11" t="s">
        <v>52</v>
      </c>
      <c r="U6" s="11" t="s">
        <v>52</v>
      </c>
      <c r="V6" s="11" t="s">
        <v>52</v>
      </c>
      <c r="W6" s="11" t="s">
        <v>52</v>
      </c>
    </row>
    <row r="7">
      <c r="A7" s="11" t="s">
        <v>89</v>
      </c>
      <c r="B7" s="8" t="s">
        <v>90</v>
      </c>
      <c r="C7" s="8" t="s">
        <v>91</v>
      </c>
      <c r="D7" s="8" t="s">
        <v>92</v>
      </c>
      <c r="E7" s="8" t="s">
        <v>93</v>
      </c>
      <c r="F7" s="8" t="s">
        <v>94</v>
      </c>
      <c r="G7" s="8" t="s">
        <v>53</v>
      </c>
      <c r="H7" s="8" t="s">
        <v>95</v>
      </c>
      <c r="I7" s="8" t="s">
        <v>96</v>
      </c>
      <c r="J7" s="11" t="s">
        <v>97</v>
      </c>
      <c r="K7" s="11" t="s">
        <v>98</v>
      </c>
      <c r="L7" s="11" t="s">
        <v>99</v>
      </c>
      <c r="M7" s="8" t="s">
        <v>100</v>
      </c>
      <c r="N7" s="11" t="s">
        <v>101</v>
      </c>
      <c r="O7" s="8" t="s">
        <v>102</v>
      </c>
      <c r="P7" s="11" t="s">
        <v>62</v>
      </c>
      <c r="Q7" s="11" t="s">
        <v>103</v>
      </c>
      <c r="R7" s="11" t="s">
        <v>104</v>
      </c>
      <c r="S7" s="11" t="s">
        <v>74</v>
      </c>
      <c r="T7" s="11" t="s">
        <v>105</v>
      </c>
      <c r="U7" s="11" t="s">
        <v>106</v>
      </c>
      <c r="V7" s="11" t="s">
        <v>52</v>
      </c>
      <c r="W7" s="11" t="s">
        <v>107</v>
      </c>
    </row>
    <row r="8">
      <c r="A8" s="11" t="s">
        <v>108</v>
      </c>
      <c r="B8" s="8" t="s">
        <v>52</v>
      </c>
      <c r="C8" s="8" t="s">
        <v>52</v>
      </c>
      <c r="D8" s="8" t="s">
        <v>52</v>
      </c>
      <c r="E8" s="8" t="s">
        <v>52</v>
      </c>
      <c r="F8" s="8" t="s">
        <v>52</v>
      </c>
      <c r="G8" s="8" t="s">
        <v>52</v>
      </c>
      <c r="H8" s="8" t="s">
        <v>52</v>
      </c>
      <c r="I8" s="8" t="s">
        <v>52</v>
      </c>
      <c r="J8" s="11" t="s">
        <v>52</v>
      </c>
      <c r="K8" s="11" t="s">
        <v>109</v>
      </c>
      <c r="L8" s="11" t="s">
        <v>52</v>
      </c>
      <c r="M8" s="8" t="s">
        <v>110</v>
      </c>
      <c r="N8" s="11" t="s">
        <v>52</v>
      </c>
      <c r="O8" s="8" t="s">
        <v>52</v>
      </c>
      <c r="P8" s="11" t="s">
        <v>52</v>
      </c>
      <c r="Q8" s="11" t="s">
        <v>111</v>
      </c>
      <c r="R8" s="11" t="s">
        <v>52</v>
      </c>
      <c r="S8" s="11" t="s">
        <v>112</v>
      </c>
      <c r="T8" s="11" t="s">
        <v>113</v>
      </c>
      <c r="U8" s="11" t="s">
        <v>54</v>
      </c>
      <c r="V8" s="11" t="s">
        <v>114</v>
      </c>
      <c r="W8" s="11" t="s">
        <v>115</v>
      </c>
    </row>
    <row r="9">
      <c r="A9" s="11" t="s">
        <v>116</v>
      </c>
      <c r="B9" s="8" t="s">
        <v>117</v>
      </c>
      <c r="C9" s="8" t="s">
        <v>118</v>
      </c>
      <c r="D9" s="8" t="s">
        <v>52</v>
      </c>
      <c r="E9" s="8" t="s">
        <v>119</v>
      </c>
      <c r="F9" s="8" t="s">
        <v>52</v>
      </c>
      <c r="G9" s="8" t="s">
        <v>52</v>
      </c>
      <c r="H9" s="8" t="s">
        <v>52</v>
      </c>
      <c r="I9" s="8" t="s">
        <v>52</v>
      </c>
      <c r="J9" s="11" t="s">
        <v>120</v>
      </c>
      <c r="K9" s="11" t="s">
        <v>52</v>
      </c>
      <c r="L9" s="11" t="s">
        <v>121</v>
      </c>
      <c r="M9" s="8" t="s">
        <v>122</v>
      </c>
      <c r="N9" s="11" t="s">
        <v>123</v>
      </c>
      <c r="O9" s="8" t="s">
        <v>52</v>
      </c>
      <c r="P9" s="11" t="s">
        <v>111</v>
      </c>
      <c r="Q9" s="11" t="s">
        <v>124</v>
      </c>
      <c r="R9" s="11" t="s">
        <v>125</v>
      </c>
      <c r="S9" s="11" t="s">
        <v>52</v>
      </c>
      <c r="T9" s="11" t="s">
        <v>113</v>
      </c>
      <c r="U9" s="11" t="s">
        <v>52</v>
      </c>
      <c r="V9" s="11" t="s">
        <v>126</v>
      </c>
      <c r="W9" s="11" t="s">
        <v>127</v>
      </c>
    </row>
    <row r="10">
      <c r="A10" s="11" t="s">
        <v>128</v>
      </c>
      <c r="B10" s="8" t="s">
        <v>70</v>
      </c>
      <c r="C10" s="8" t="s">
        <v>63</v>
      </c>
      <c r="D10" s="8" t="s">
        <v>52</v>
      </c>
      <c r="E10" s="8" t="s">
        <v>129</v>
      </c>
      <c r="F10" s="8" t="s">
        <v>130</v>
      </c>
      <c r="G10" s="8" t="s">
        <v>52</v>
      </c>
      <c r="H10" s="8" t="s">
        <v>131</v>
      </c>
      <c r="I10" s="8" t="s">
        <v>132</v>
      </c>
      <c r="J10" s="11" t="s">
        <v>133</v>
      </c>
      <c r="K10" s="11" t="s">
        <v>134</v>
      </c>
      <c r="L10" s="11" t="s">
        <v>135</v>
      </c>
      <c r="M10" s="8" t="s">
        <v>136</v>
      </c>
      <c r="N10" s="11" t="s">
        <v>137</v>
      </c>
      <c r="O10" s="8" t="s">
        <v>138</v>
      </c>
      <c r="P10" s="11" t="s">
        <v>57</v>
      </c>
      <c r="Q10" s="11" t="s">
        <v>139</v>
      </c>
      <c r="R10" s="11" t="s">
        <v>140</v>
      </c>
      <c r="S10" s="11" t="s">
        <v>141</v>
      </c>
      <c r="T10" s="11" t="s">
        <v>142</v>
      </c>
      <c r="U10" s="11" t="s">
        <v>143</v>
      </c>
      <c r="V10" s="11" t="s">
        <v>124</v>
      </c>
      <c r="W10" s="11" t="s">
        <v>144</v>
      </c>
    </row>
    <row r="11">
      <c r="A11" s="11" t="s">
        <v>145</v>
      </c>
      <c r="B11" s="8" t="s">
        <v>70</v>
      </c>
      <c r="C11" s="8" t="s">
        <v>146</v>
      </c>
      <c r="D11" s="8" t="s">
        <v>52</v>
      </c>
      <c r="E11" s="8" t="s">
        <v>52</v>
      </c>
      <c r="F11" s="8" t="s">
        <v>147</v>
      </c>
      <c r="G11" s="8" t="s">
        <v>52</v>
      </c>
      <c r="H11" s="8" t="s">
        <v>52</v>
      </c>
      <c r="I11" s="8" t="s">
        <v>52</v>
      </c>
      <c r="J11" s="11" t="s">
        <v>148</v>
      </c>
      <c r="K11" s="11" t="s">
        <v>149</v>
      </c>
      <c r="L11" s="11" t="s">
        <v>150</v>
      </c>
      <c r="M11" s="8" t="s">
        <v>151</v>
      </c>
      <c r="N11" s="11" t="s">
        <v>52</v>
      </c>
      <c r="O11" s="8" t="s">
        <v>52</v>
      </c>
      <c r="P11" s="11" t="s">
        <v>57</v>
      </c>
      <c r="Q11" s="11" t="s">
        <v>124</v>
      </c>
      <c r="R11" s="11" t="s">
        <v>84</v>
      </c>
      <c r="S11" s="11" t="s">
        <v>152</v>
      </c>
      <c r="T11" s="11" t="s">
        <v>153</v>
      </c>
      <c r="U11" s="11" t="s">
        <v>154</v>
      </c>
      <c r="V11" s="11" t="s">
        <v>155</v>
      </c>
      <c r="W11" s="11" t="s">
        <v>156</v>
      </c>
    </row>
    <row r="12">
      <c r="A12" s="11" t="s">
        <v>157</v>
      </c>
      <c r="B12" s="8" t="s">
        <v>111</v>
      </c>
      <c r="C12" s="8" t="s">
        <v>52</v>
      </c>
      <c r="D12" s="8" t="s">
        <v>52</v>
      </c>
      <c r="E12" s="8" t="s">
        <v>158</v>
      </c>
      <c r="F12" s="8" t="s">
        <v>159</v>
      </c>
      <c r="G12" s="8" t="s">
        <v>52</v>
      </c>
      <c r="H12" s="8" t="s">
        <v>52</v>
      </c>
      <c r="I12" s="8" t="s">
        <v>160</v>
      </c>
      <c r="J12" s="11" t="s">
        <v>52</v>
      </c>
      <c r="K12" s="11" t="s">
        <v>161</v>
      </c>
      <c r="L12" s="11" t="s">
        <v>52</v>
      </c>
      <c r="M12" s="8" t="s">
        <v>162</v>
      </c>
      <c r="N12" s="11" t="s">
        <v>123</v>
      </c>
      <c r="O12" s="8" t="s">
        <v>52</v>
      </c>
      <c r="P12" s="11" t="s">
        <v>126</v>
      </c>
      <c r="Q12" s="11" t="s">
        <v>163</v>
      </c>
      <c r="R12" s="11" t="s">
        <v>164</v>
      </c>
      <c r="S12" s="11" t="s">
        <v>165</v>
      </c>
      <c r="T12" s="11" t="s">
        <v>166</v>
      </c>
      <c r="U12" s="11" t="s">
        <v>167</v>
      </c>
      <c r="V12" s="11" t="s">
        <v>52</v>
      </c>
      <c r="W12" s="11" t="s">
        <v>168</v>
      </c>
    </row>
    <row r="13">
      <c r="A13" s="11" t="s">
        <v>169</v>
      </c>
      <c r="B13" s="8" t="s">
        <v>52</v>
      </c>
      <c r="C13" s="8" t="s">
        <v>52</v>
      </c>
      <c r="D13" s="8" t="s">
        <v>52</v>
      </c>
      <c r="E13" s="8" t="s">
        <v>52</v>
      </c>
      <c r="F13" s="8" t="s">
        <v>52</v>
      </c>
      <c r="G13" s="8" t="s">
        <v>52</v>
      </c>
      <c r="H13" s="8" t="s">
        <v>52</v>
      </c>
      <c r="I13" s="8" t="s">
        <v>52</v>
      </c>
      <c r="J13" s="11" t="s">
        <v>52</v>
      </c>
      <c r="K13" s="11" t="s">
        <v>52</v>
      </c>
      <c r="L13" s="11" t="s">
        <v>52</v>
      </c>
      <c r="M13" s="8" t="s">
        <v>52</v>
      </c>
      <c r="N13" s="11" t="s">
        <v>52</v>
      </c>
      <c r="O13" s="8" t="s">
        <v>52</v>
      </c>
      <c r="P13" s="11" t="s">
        <v>52</v>
      </c>
      <c r="Q13" s="11" t="s">
        <v>52</v>
      </c>
      <c r="R13" s="11" t="s">
        <v>170</v>
      </c>
      <c r="S13" s="11" t="s">
        <v>171</v>
      </c>
      <c r="T13" s="11" t="s">
        <v>52</v>
      </c>
      <c r="U13" s="11" t="s">
        <v>52</v>
      </c>
      <c r="V13" s="11" t="s">
        <v>52</v>
      </c>
      <c r="W13" s="11" t="s">
        <v>52</v>
      </c>
    </row>
    <row r="14">
      <c r="A14" s="11" t="s">
        <v>172</v>
      </c>
      <c r="B14" s="8" t="s">
        <v>173</v>
      </c>
      <c r="C14" s="7"/>
      <c r="D14" s="8" t="s">
        <v>174</v>
      </c>
      <c r="E14" s="7"/>
      <c r="F14" s="8" t="s">
        <v>175</v>
      </c>
      <c r="G14" s="8" t="s">
        <v>176</v>
      </c>
      <c r="H14" s="8" t="s">
        <v>177</v>
      </c>
      <c r="I14" s="8" t="s">
        <v>178</v>
      </c>
      <c r="J14" s="11" t="s">
        <v>179</v>
      </c>
      <c r="K14" s="11" t="s">
        <v>180</v>
      </c>
      <c r="M14" s="8" t="s">
        <v>181</v>
      </c>
      <c r="N14" s="11" t="s">
        <v>52</v>
      </c>
      <c r="O14" s="8" t="s">
        <v>182</v>
      </c>
      <c r="P14" s="11" t="s">
        <v>52</v>
      </c>
      <c r="Q14" s="11" t="s">
        <v>54</v>
      </c>
      <c r="R14" s="11" t="s">
        <v>183</v>
      </c>
      <c r="S14" s="11" t="s">
        <v>184</v>
      </c>
      <c r="T14" s="11" t="s">
        <v>185</v>
      </c>
      <c r="U14" s="11" t="s">
        <v>186</v>
      </c>
      <c r="V14" s="11" t="s">
        <v>187</v>
      </c>
      <c r="W14" s="11" t="s">
        <v>188</v>
      </c>
    </row>
    <row r="15">
      <c r="A15" s="11" t="s">
        <v>189</v>
      </c>
      <c r="B15" s="8" t="s">
        <v>71</v>
      </c>
      <c r="C15" s="8" t="s">
        <v>190</v>
      </c>
      <c r="D15" s="8" t="s">
        <v>191</v>
      </c>
      <c r="E15" s="8" t="s">
        <v>192</v>
      </c>
      <c r="F15" s="8" t="s">
        <v>193</v>
      </c>
      <c r="G15" s="8" t="s">
        <v>52</v>
      </c>
      <c r="H15" s="8" t="s">
        <v>194</v>
      </c>
      <c r="I15" s="8" t="s">
        <v>195</v>
      </c>
      <c r="J15" s="11" t="s">
        <v>196</v>
      </c>
      <c r="K15" s="11" t="s">
        <v>197</v>
      </c>
      <c r="M15" s="8" t="s">
        <v>198</v>
      </c>
      <c r="O15" s="8" t="s">
        <v>199</v>
      </c>
      <c r="P15" s="11" t="s">
        <v>200</v>
      </c>
      <c r="Q15" s="11" t="s">
        <v>133</v>
      </c>
      <c r="R15" s="11" t="s">
        <v>201</v>
      </c>
      <c r="S15" s="11" t="s">
        <v>146</v>
      </c>
      <c r="T15" s="11" t="s">
        <v>202</v>
      </c>
      <c r="U15" s="11" t="s">
        <v>203</v>
      </c>
      <c r="V15" s="11" t="s">
        <v>204</v>
      </c>
      <c r="W15" s="11" t="s">
        <v>205</v>
      </c>
    </row>
    <row r="16">
      <c r="A16" s="11" t="s">
        <v>206</v>
      </c>
      <c r="B16" s="8" t="s">
        <v>70</v>
      </c>
      <c r="C16" s="8" t="s">
        <v>52</v>
      </c>
      <c r="D16" s="8" t="s">
        <v>207</v>
      </c>
      <c r="E16" s="8" t="s">
        <v>208</v>
      </c>
      <c r="F16" s="8" t="s">
        <v>209</v>
      </c>
      <c r="G16" s="8" t="s">
        <v>52</v>
      </c>
      <c r="H16" s="8" t="s">
        <v>210</v>
      </c>
      <c r="I16" s="8" t="s">
        <v>211</v>
      </c>
      <c r="J16" s="11" t="s">
        <v>212</v>
      </c>
      <c r="K16" s="11" t="s">
        <v>213</v>
      </c>
      <c r="M16" s="8" t="s">
        <v>214</v>
      </c>
      <c r="O16" s="8" t="s">
        <v>215</v>
      </c>
      <c r="P16" s="11" t="s">
        <v>216</v>
      </c>
      <c r="Q16" s="11" t="s">
        <v>217</v>
      </c>
      <c r="R16" s="11" t="s">
        <v>218</v>
      </c>
      <c r="S16" s="11" t="s">
        <v>219</v>
      </c>
      <c r="T16" s="11" t="s">
        <v>220</v>
      </c>
      <c r="U16" s="11" t="s">
        <v>221</v>
      </c>
      <c r="V16" s="11" t="s">
        <v>222</v>
      </c>
      <c r="W16" s="11" t="s">
        <v>223</v>
      </c>
    </row>
    <row r="17">
      <c r="A17" s="11" t="s">
        <v>224</v>
      </c>
      <c r="B17" s="8" t="s">
        <v>225</v>
      </c>
      <c r="C17" s="7"/>
      <c r="D17" s="8" t="s">
        <v>226</v>
      </c>
      <c r="E17" s="8" t="s">
        <v>52</v>
      </c>
      <c r="F17" s="8" t="s">
        <v>227</v>
      </c>
      <c r="G17" s="7"/>
      <c r="H17" s="8" t="s">
        <v>228</v>
      </c>
      <c r="I17" s="8" t="s">
        <v>229</v>
      </c>
      <c r="J17" s="11" t="s">
        <v>230</v>
      </c>
      <c r="K17" s="11" t="s">
        <v>231</v>
      </c>
      <c r="L17" s="11" t="s">
        <v>52</v>
      </c>
      <c r="M17" s="8" t="s">
        <v>232</v>
      </c>
      <c r="O17" s="8" t="s">
        <v>233</v>
      </c>
      <c r="P17" s="11" t="s">
        <v>234</v>
      </c>
      <c r="Q17" s="11" t="s">
        <v>70</v>
      </c>
      <c r="R17" s="11" t="s">
        <v>235</v>
      </c>
      <c r="S17" s="11" t="s">
        <v>236</v>
      </c>
      <c r="T17" s="11" t="s">
        <v>237</v>
      </c>
      <c r="U17" s="11" t="s">
        <v>238</v>
      </c>
      <c r="V17" s="11" t="s">
        <v>52</v>
      </c>
      <c r="W17" s="11" t="s">
        <v>239</v>
      </c>
    </row>
    <row r="18">
      <c r="A18" s="11" t="s">
        <v>240</v>
      </c>
      <c r="B18" s="8" t="s">
        <v>241</v>
      </c>
      <c r="C18" s="7"/>
      <c r="D18" s="8" t="s">
        <v>242</v>
      </c>
      <c r="E18" s="7"/>
      <c r="F18" s="8" t="s">
        <v>243</v>
      </c>
      <c r="G18" s="8" t="s">
        <v>52</v>
      </c>
      <c r="H18" s="8" t="s">
        <v>244</v>
      </c>
      <c r="I18" s="8" t="s">
        <v>245</v>
      </c>
      <c r="J18" s="11" t="s">
        <v>246</v>
      </c>
      <c r="K18" s="11" t="s">
        <v>247</v>
      </c>
      <c r="M18" s="8" t="s">
        <v>248</v>
      </c>
      <c r="O18" s="8" t="s">
        <v>249</v>
      </c>
      <c r="P18" s="11" t="s">
        <v>250</v>
      </c>
      <c r="Q18" s="11" t="s">
        <v>251</v>
      </c>
      <c r="R18" s="11" t="s">
        <v>252</v>
      </c>
      <c r="S18" s="11" t="s">
        <v>253</v>
      </c>
      <c r="T18" s="11" t="s">
        <v>254</v>
      </c>
      <c r="U18" s="11" t="s">
        <v>255</v>
      </c>
      <c r="V18" s="11" t="s">
        <v>256</v>
      </c>
      <c r="W18" s="11" t="s">
        <v>257</v>
      </c>
    </row>
    <row r="19">
      <c r="A19" s="11" t="s">
        <v>258</v>
      </c>
      <c r="B19" s="8" t="s">
        <v>259</v>
      </c>
      <c r="C19" s="8" t="s">
        <v>260</v>
      </c>
      <c r="D19" s="8" t="s">
        <v>261</v>
      </c>
      <c r="E19" s="8" t="s">
        <v>262</v>
      </c>
      <c r="F19" s="8" t="s">
        <v>263</v>
      </c>
      <c r="G19" s="8" t="s">
        <v>264</v>
      </c>
      <c r="H19" s="8" t="s">
        <v>265</v>
      </c>
      <c r="I19" s="8" t="s">
        <v>266</v>
      </c>
      <c r="J19" s="11" t="s">
        <v>267</v>
      </c>
      <c r="K19" s="11" t="s">
        <v>268</v>
      </c>
      <c r="L19" s="11" t="s">
        <v>269</v>
      </c>
      <c r="M19" s="8" t="s">
        <v>270</v>
      </c>
      <c r="O19" s="8" t="s">
        <v>271</v>
      </c>
      <c r="P19" s="11" t="s">
        <v>272</v>
      </c>
      <c r="Q19" s="11" t="s">
        <v>273</v>
      </c>
      <c r="R19" s="11" t="s">
        <v>274</v>
      </c>
      <c r="S19" s="11" t="s">
        <v>275</v>
      </c>
      <c r="T19" s="11" t="s">
        <v>276</v>
      </c>
      <c r="U19" s="11" t="s">
        <v>277</v>
      </c>
      <c r="V19" s="11" t="s">
        <v>278</v>
      </c>
      <c r="W19" s="11" t="s">
        <v>279</v>
      </c>
    </row>
    <row r="20">
      <c r="B20" s="10"/>
      <c r="C20" s="10"/>
      <c r="D20" s="10"/>
      <c r="E20" s="10"/>
      <c r="G20" s="10"/>
      <c r="H20" s="10"/>
      <c r="I20" s="10"/>
    </row>
    <row r="21">
      <c r="B21" s="10"/>
      <c r="C21" s="10"/>
      <c r="D21" s="10"/>
      <c r="E21" s="10"/>
      <c r="G21" s="10"/>
      <c r="H21" s="10"/>
      <c r="I21" s="10"/>
    </row>
    <row r="22">
      <c r="B22" s="10"/>
      <c r="C22" s="10"/>
      <c r="D22" s="10"/>
      <c r="E22" s="10"/>
      <c r="G22" s="10"/>
      <c r="H22" s="10"/>
      <c r="I22" s="10"/>
    </row>
    <row r="23">
      <c r="B23" s="10"/>
      <c r="C23" s="10"/>
      <c r="D23" s="10"/>
      <c r="E23" s="10"/>
      <c r="G23" s="10"/>
      <c r="H23" s="10"/>
      <c r="I23" s="10"/>
    </row>
    <row r="24">
      <c r="B24" s="10"/>
      <c r="C24" s="10"/>
      <c r="D24" s="10"/>
      <c r="E24" s="10"/>
      <c r="G24" s="10"/>
      <c r="H24" s="10"/>
      <c r="I24" s="10"/>
    </row>
    <row r="25">
      <c r="B25" s="10"/>
      <c r="C25" s="10"/>
      <c r="D25" s="10"/>
      <c r="E25" s="10"/>
      <c r="G25" s="10"/>
      <c r="H25" s="10"/>
      <c r="I25" s="10"/>
    </row>
    <row r="26">
      <c r="B26" s="10"/>
      <c r="C26" s="10"/>
      <c r="D26" s="10"/>
      <c r="E26" s="10"/>
      <c r="G26" s="10"/>
      <c r="H26" s="10"/>
      <c r="I26" s="10"/>
    </row>
    <row r="27">
      <c r="B27" s="10"/>
      <c r="C27" s="10"/>
      <c r="D27" s="10"/>
      <c r="E27" s="10"/>
      <c r="G27" s="10"/>
      <c r="H27" s="10"/>
      <c r="I27" s="10"/>
    </row>
    <row r="28">
      <c r="B28" s="10"/>
      <c r="C28" s="10"/>
      <c r="D28" s="10"/>
      <c r="E28" s="10"/>
      <c r="G28" s="10"/>
      <c r="H28" s="10"/>
      <c r="I28" s="10"/>
    </row>
    <row r="29">
      <c r="B29" s="10"/>
      <c r="C29" s="10"/>
      <c r="D29" s="10"/>
      <c r="E29" s="10"/>
      <c r="G29" s="10"/>
      <c r="H29" s="10"/>
      <c r="I29" s="10"/>
    </row>
    <row r="30">
      <c r="B30" s="10"/>
      <c r="C30" s="10"/>
      <c r="D30" s="10"/>
      <c r="E30" s="10"/>
      <c r="G30" s="10"/>
      <c r="H30" s="10"/>
      <c r="I30" s="10"/>
    </row>
    <row r="31">
      <c r="B31" s="10"/>
      <c r="C31" s="10"/>
      <c r="D31" s="10"/>
      <c r="E31" s="10"/>
      <c r="G31" s="10"/>
      <c r="H31" s="10"/>
      <c r="I31" s="10"/>
    </row>
    <row r="32">
      <c r="B32" s="10"/>
      <c r="C32" s="10"/>
      <c r="D32" s="10"/>
      <c r="E32" s="10"/>
      <c r="G32" s="10"/>
      <c r="H32" s="10"/>
      <c r="I32" s="10"/>
    </row>
    <row r="33">
      <c r="B33" s="10"/>
      <c r="C33" s="10"/>
      <c r="D33" s="10"/>
      <c r="E33" s="10"/>
      <c r="G33" s="10"/>
      <c r="H33" s="10"/>
      <c r="I33" s="10"/>
    </row>
    <row r="34">
      <c r="B34" s="10"/>
      <c r="C34" s="10"/>
      <c r="D34" s="10"/>
      <c r="E34" s="10"/>
      <c r="G34" s="10"/>
      <c r="H34" s="10"/>
      <c r="I34" s="10"/>
    </row>
    <row r="35">
      <c r="B35" s="10"/>
      <c r="C35" s="10"/>
      <c r="D35" s="10"/>
      <c r="E35" s="10"/>
      <c r="G35" s="10"/>
      <c r="H35" s="10"/>
      <c r="I35" s="10"/>
    </row>
    <row r="36">
      <c r="B36" s="10"/>
      <c r="C36" s="10"/>
      <c r="D36" s="10"/>
      <c r="E36" s="10"/>
      <c r="G36" s="10"/>
      <c r="H36" s="10"/>
      <c r="I36" s="10"/>
    </row>
    <row r="37">
      <c r="B37" s="10"/>
      <c r="C37" s="10"/>
      <c r="D37" s="10"/>
      <c r="E37" s="10"/>
      <c r="G37" s="10"/>
      <c r="H37" s="10"/>
      <c r="I37" s="10"/>
    </row>
    <row r="38">
      <c r="B38" s="10"/>
      <c r="C38" s="10"/>
      <c r="D38" s="10"/>
      <c r="E38" s="10"/>
      <c r="G38" s="10"/>
      <c r="H38" s="10"/>
      <c r="I38" s="10"/>
    </row>
    <row r="39">
      <c r="B39" s="10"/>
      <c r="C39" s="10"/>
      <c r="D39" s="10"/>
      <c r="E39" s="10"/>
      <c r="G39" s="10"/>
      <c r="H39" s="10"/>
      <c r="I39" s="10"/>
    </row>
    <row r="40">
      <c r="B40" s="10"/>
      <c r="C40" s="10"/>
      <c r="D40" s="10"/>
      <c r="E40" s="10"/>
      <c r="G40" s="10"/>
      <c r="H40" s="10"/>
      <c r="I40" s="10"/>
    </row>
    <row r="41">
      <c r="B41" s="10"/>
      <c r="C41" s="10"/>
      <c r="D41" s="10"/>
      <c r="E41" s="10"/>
      <c r="G41" s="10"/>
      <c r="H41" s="10"/>
      <c r="I41" s="10"/>
    </row>
    <row r="42">
      <c r="B42" s="10"/>
      <c r="C42" s="10"/>
      <c r="D42" s="10"/>
      <c r="E42" s="10"/>
      <c r="G42" s="10"/>
      <c r="H42" s="10"/>
      <c r="I42" s="10"/>
    </row>
    <row r="43">
      <c r="B43" s="10"/>
      <c r="C43" s="10"/>
      <c r="D43" s="10"/>
      <c r="E43" s="10"/>
      <c r="G43" s="10"/>
      <c r="H43" s="10"/>
      <c r="I43" s="10"/>
    </row>
    <row r="44">
      <c r="B44" s="10"/>
      <c r="C44" s="10"/>
      <c r="D44" s="10"/>
      <c r="E44" s="10"/>
      <c r="G44" s="10"/>
      <c r="H44" s="10"/>
      <c r="I44" s="10"/>
    </row>
    <row r="45">
      <c r="B45" s="10"/>
      <c r="C45" s="10"/>
      <c r="D45" s="10"/>
      <c r="F45" s="10"/>
      <c r="G45" s="10"/>
      <c r="H45" s="10"/>
      <c r="I45" s="10"/>
      <c r="M45" s="10"/>
      <c r="O45" s="10"/>
    </row>
    <row r="46">
      <c r="B46" s="10"/>
      <c r="C46" s="10"/>
      <c r="D46" s="10"/>
      <c r="F46" s="10"/>
      <c r="G46" s="10"/>
      <c r="H46" s="10"/>
      <c r="I46" s="10"/>
      <c r="M46" s="10"/>
      <c r="O46" s="10"/>
    </row>
    <row r="47">
      <c r="B47" s="10"/>
      <c r="C47" s="10"/>
      <c r="D47" s="10"/>
      <c r="F47" s="10"/>
      <c r="G47" s="10"/>
      <c r="H47" s="10"/>
      <c r="I47" s="10"/>
      <c r="M47" s="10"/>
      <c r="O47" s="10"/>
    </row>
    <row r="48">
      <c r="B48" s="10"/>
      <c r="C48" s="10"/>
      <c r="D48" s="10"/>
      <c r="F48" s="10"/>
      <c r="G48" s="10"/>
      <c r="H48" s="10"/>
      <c r="I48" s="10"/>
      <c r="M48" s="10"/>
      <c r="O48" s="10"/>
    </row>
    <row r="49">
      <c r="B49" s="10"/>
      <c r="C49" s="10"/>
      <c r="D49" s="10"/>
      <c r="F49" s="10"/>
      <c r="G49" s="10"/>
      <c r="H49" s="10"/>
      <c r="I49" s="10"/>
      <c r="M49" s="10"/>
      <c r="O49" s="10"/>
    </row>
    <row r="50">
      <c r="B50" s="10"/>
      <c r="C50" s="10"/>
      <c r="D50" s="10"/>
      <c r="F50" s="10"/>
      <c r="G50" s="10"/>
      <c r="H50" s="10"/>
      <c r="I50" s="10"/>
      <c r="M50" s="10"/>
      <c r="O50" s="10"/>
    </row>
    <row r="51">
      <c r="B51" s="10"/>
      <c r="C51" s="10"/>
      <c r="D51" s="10"/>
      <c r="F51" s="10"/>
      <c r="G51" s="10"/>
      <c r="H51" s="10"/>
      <c r="I51" s="10"/>
      <c r="M51" s="10"/>
      <c r="O51" s="10"/>
    </row>
    <row r="52">
      <c r="B52" s="10"/>
      <c r="C52" s="10"/>
      <c r="D52" s="10"/>
      <c r="F52" s="10"/>
      <c r="G52" s="10"/>
      <c r="H52" s="10"/>
      <c r="I52" s="10"/>
      <c r="M52" s="10"/>
      <c r="O52" s="10"/>
    </row>
    <row r="53">
      <c r="B53" s="10"/>
      <c r="C53" s="10"/>
      <c r="D53" s="10"/>
      <c r="F53" s="10"/>
      <c r="G53" s="10"/>
      <c r="H53" s="10"/>
      <c r="I53" s="10"/>
      <c r="M53" s="10"/>
      <c r="O53" s="10"/>
    </row>
    <row r="54">
      <c r="B54" s="10"/>
      <c r="C54" s="10"/>
      <c r="D54" s="10"/>
      <c r="F54" s="10"/>
      <c r="G54" s="10"/>
      <c r="H54" s="10"/>
      <c r="I54" s="10"/>
      <c r="M54" s="10"/>
      <c r="O54" s="10"/>
    </row>
    <row r="55">
      <c r="B55" s="10"/>
      <c r="C55" s="10"/>
      <c r="D55" s="10"/>
      <c r="F55" s="10"/>
      <c r="G55" s="10"/>
      <c r="H55" s="10"/>
      <c r="I55" s="10"/>
      <c r="M55" s="10"/>
      <c r="O55" s="10"/>
    </row>
    <row r="56">
      <c r="B56" s="10"/>
      <c r="C56" s="10"/>
      <c r="D56" s="10"/>
      <c r="F56" s="10"/>
      <c r="G56" s="10"/>
      <c r="H56" s="10"/>
      <c r="I56" s="10"/>
      <c r="M56" s="10"/>
      <c r="O56" s="10"/>
    </row>
    <row r="57">
      <c r="B57" s="10"/>
      <c r="C57" s="10"/>
      <c r="D57" s="10"/>
      <c r="F57" s="10"/>
      <c r="G57" s="10"/>
      <c r="H57" s="10"/>
      <c r="I57" s="10"/>
      <c r="M57" s="10"/>
      <c r="O57" s="10"/>
    </row>
    <row r="58">
      <c r="B58" s="10"/>
      <c r="C58" s="10"/>
      <c r="D58" s="10"/>
      <c r="F58" s="10"/>
      <c r="G58" s="10"/>
      <c r="H58" s="10"/>
      <c r="I58" s="10"/>
      <c r="M58" s="10"/>
      <c r="O58" s="10"/>
    </row>
    <row r="59">
      <c r="B59" s="10"/>
      <c r="C59" s="10"/>
      <c r="D59" s="10"/>
      <c r="F59" s="10"/>
      <c r="G59" s="10"/>
      <c r="H59" s="10"/>
      <c r="I59" s="10"/>
      <c r="M59" s="10"/>
      <c r="O59" s="10"/>
    </row>
    <row r="60">
      <c r="B60" s="10"/>
      <c r="C60" s="10"/>
      <c r="D60" s="10"/>
      <c r="F60" s="10"/>
      <c r="G60" s="10"/>
      <c r="H60" s="10"/>
      <c r="I60" s="10"/>
      <c r="M60" s="10"/>
      <c r="O60" s="10"/>
    </row>
    <row r="61">
      <c r="B61" s="10"/>
      <c r="C61" s="10"/>
      <c r="D61" s="10"/>
      <c r="F61" s="10"/>
      <c r="G61" s="10"/>
      <c r="H61" s="10"/>
      <c r="I61" s="10"/>
      <c r="M61" s="10"/>
      <c r="O61" s="10"/>
    </row>
    <row r="62">
      <c r="B62" s="10"/>
      <c r="C62" s="10"/>
      <c r="D62" s="10"/>
      <c r="E62" s="10"/>
      <c r="F62" s="10"/>
      <c r="G62" s="10"/>
      <c r="H62" s="10"/>
      <c r="I62" s="10"/>
      <c r="M62" s="10"/>
      <c r="O62" s="10"/>
    </row>
    <row r="63">
      <c r="B63" s="10"/>
      <c r="C63" s="10"/>
      <c r="D63" s="10"/>
      <c r="E63" s="10"/>
      <c r="F63" s="10"/>
      <c r="G63" s="10"/>
      <c r="H63" s="10"/>
      <c r="I63" s="10"/>
      <c r="M63" s="10"/>
      <c r="O63" s="10"/>
    </row>
    <row r="64">
      <c r="B64" s="10"/>
      <c r="C64" s="10"/>
      <c r="D64" s="10"/>
      <c r="E64" s="10"/>
      <c r="F64" s="10"/>
      <c r="G64" s="10"/>
      <c r="H64" s="10"/>
      <c r="I64" s="10"/>
      <c r="M64" s="10"/>
      <c r="O64" s="10"/>
    </row>
    <row r="65">
      <c r="B65" s="7" t="s">
        <v>25</v>
      </c>
      <c r="C65" s="7" t="s">
        <v>26</v>
      </c>
      <c r="D65" s="7" t="s">
        <v>27</v>
      </c>
      <c r="E65" s="7" t="s">
        <v>28</v>
      </c>
      <c r="F65" s="8" t="s">
        <v>29</v>
      </c>
      <c r="G65" s="7" t="s">
        <v>30</v>
      </c>
      <c r="H65" s="7" t="s">
        <v>31</v>
      </c>
      <c r="I65" s="7" t="s">
        <v>32</v>
      </c>
      <c r="J65" s="9" t="s">
        <v>33</v>
      </c>
      <c r="K65" s="9" t="s">
        <v>34</v>
      </c>
      <c r="L65" s="9" t="s">
        <v>35</v>
      </c>
      <c r="M65" s="8" t="s">
        <v>36</v>
      </c>
      <c r="N65" s="9" t="s">
        <v>37</v>
      </c>
      <c r="O65" s="10" t="s">
        <v>38</v>
      </c>
      <c r="P65" s="9" t="s">
        <v>39</v>
      </c>
      <c r="Q65" s="9" t="s">
        <v>40</v>
      </c>
      <c r="R65" s="9" t="s">
        <v>41</v>
      </c>
      <c r="S65" s="9" t="s">
        <v>42</v>
      </c>
      <c r="T65" s="9" t="s">
        <v>43</v>
      </c>
      <c r="U65" s="9" t="s">
        <v>44</v>
      </c>
      <c r="V65" s="9" t="s">
        <v>45</v>
      </c>
      <c r="W65" s="9" t="s">
        <v>46</v>
      </c>
    </row>
    <row r="66">
      <c r="B66" s="7" t="s">
        <v>280</v>
      </c>
      <c r="C66" s="7" t="s">
        <v>281</v>
      </c>
      <c r="D66" s="7" t="s">
        <v>282</v>
      </c>
      <c r="E66" s="7" t="s">
        <v>283</v>
      </c>
      <c r="F66" s="8" t="s">
        <v>284</v>
      </c>
      <c r="G66" s="7" t="s">
        <v>285</v>
      </c>
      <c r="H66" s="7" t="s">
        <v>286</v>
      </c>
      <c r="I66" s="7" t="s">
        <v>287</v>
      </c>
      <c r="J66" s="9" t="s">
        <v>288</v>
      </c>
      <c r="K66" s="9" t="s">
        <v>289</v>
      </c>
      <c r="L66" s="9" t="s">
        <v>290</v>
      </c>
      <c r="M66" s="8" t="s">
        <v>291</v>
      </c>
      <c r="N66" s="9" t="s">
        <v>292</v>
      </c>
      <c r="O66" s="10" t="s">
        <v>293</v>
      </c>
      <c r="P66" s="9" t="s">
        <v>294</v>
      </c>
      <c r="Q66" s="9" t="s">
        <v>284</v>
      </c>
      <c r="R66" s="9" t="s">
        <v>295</v>
      </c>
      <c r="S66" s="9" t="s">
        <v>296</v>
      </c>
      <c r="T66" s="9" t="s">
        <v>297</v>
      </c>
      <c r="U66" s="9" t="s">
        <v>298</v>
      </c>
      <c r="V66" s="9" t="s">
        <v>299</v>
      </c>
      <c r="W66" s="9" t="s">
        <v>300</v>
      </c>
    </row>
    <row r="67">
      <c r="B67" s="7" t="s">
        <v>301</v>
      </c>
      <c r="C67" s="7" t="s">
        <v>284</v>
      </c>
      <c r="D67" s="7" t="s">
        <v>302</v>
      </c>
      <c r="E67" s="7" t="s">
        <v>303</v>
      </c>
      <c r="F67" s="8" t="s">
        <v>304</v>
      </c>
      <c r="G67" s="7" t="s">
        <v>284</v>
      </c>
      <c r="H67" s="7" t="s">
        <v>284</v>
      </c>
      <c r="I67" s="7" t="s">
        <v>305</v>
      </c>
      <c r="J67" s="9" t="s">
        <v>306</v>
      </c>
      <c r="K67" s="9" t="s">
        <v>307</v>
      </c>
      <c r="L67" s="9" t="s">
        <v>284</v>
      </c>
      <c r="M67" s="8" t="s">
        <v>308</v>
      </c>
      <c r="N67" s="9" t="s">
        <v>309</v>
      </c>
      <c r="O67" s="10" t="s">
        <v>284</v>
      </c>
      <c r="P67" s="9" t="s">
        <v>289</v>
      </c>
      <c r="Q67" s="9" t="s">
        <v>310</v>
      </c>
      <c r="R67" s="9" t="s">
        <v>311</v>
      </c>
      <c r="S67" s="9" t="s">
        <v>312</v>
      </c>
      <c r="T67" s="9" t="s">
        <v>313</v>
      </c>
      <c r="U67" s="9" t="s">
        <v>314</v>
      </c>
      <c r="V67" s="9" t="s">
        <v>315</v>
      </c>
      <c r="W67" s="9" t="s">
        <v>316</v>
      </c>
    </row>
    <row r="68">
      <c r="B68" s="7" t="s">
        <v>284</v>
      </c>
      <c r="C68" s="7" t="s">
        <v>284</v>
      </c>
      <c r="D68" s="7" t="s">
        <v>284</v>
      </c>
      <c r="E68" s="7" t="s">
        <v>284</v>
      </c>
      <c r="F68" s="8" t="s">
        <v>284</v>
      </c>
      <c r="G68" s="7" t="s">
        <v>280</v>
      </c>
      <c r="H68" s="7" t="s">
        <v>284</v>
      </c>
      <c r="I68" s="7" t="s">
        <v>284</v>
      </c>
      <c r="J68" s="9" t="s">
        <v>284</v>
      </c>
      <c r="K68" s="9" t="s">
        <v>284</v>
      </c>
      <c r="L68" s="9" t="s">
        <v>284</v>
      </c>
      <c r="M68" s="8" t="s">
        <v>284</v>
      </c>
      <c r="N68" s="9" t="s">
        <v>284</v>
      </c>
      <c r="O68" s="10" t="s">
        <v>284</v>
      </c>
      <c r="P68" s="9" t="s">
        <v>284</v>
      </c>
      <c r="Q68" s="9" t="s">
        <v>284</v>
      </c>
      <c r="R68" s="9" t="s">
        <v>317</v>
      </c>
      <c r="S68" s="9" t="s">
        <v>284</v>
      </c>
      <c r="T68" s="9" t="s">
        <v>284</v>
      </c>
      <c r="U68" s="9" t="s">
        <v>284</v>
      </c>
      <c r="V68" s="9" t="s">
        <v>284</v>
      </c>
      <c r="W68" s="9" t="s">
        <v>284</v>
      </c>
    </row>
    <row r="69">
      <c r="B69" s="7" t="s">
        <v>318</v>
      </c>
      <c r="C69" s="7" t="s">
        <v>319</v>
      </c>
      <c r="D69" s="7" t="s">
        <v>320</v>
      </c>
      <c r="E69" s="7" t="s">
        <v>321</v>
      </c>
      <c r="F69" s="8" t="s">
        <v>322</v>
      </c>
      <c r="G69" s="7" t="s">
        <v>285</v>
      </c>
      <c r="H69" s="7" t="s">
        <v>323</v>
      </c>
      <c r="I69" s="7" t="s">
        <v>324</v>
      </c>
      <c r="J69" s="9" t="s">
        <v>325</v>
      </c>
      <c r="K69" s="9" t="s">
        <v>326</v>
      </c>
      <c r="L69" s="9" t="s">
        <v>327</v>
      </c>
      <c r="M69" s="8" t="s">
        <v>328</v>
      </c>
      <c r="N69" s="9" t="s">
        <v>329</v>
      </c>
      <c r="O69" s="10" t="s">
        <v>330</v>
      </c>
      <c r="P69" s="9" t="s">
        <v>294</v>
      </c>
      <c r="Q69" s="9" t="s">
        <v>331</v>
      </c>
      <c r="R69" s="9" t="s">
        <v>332</v>
      </c>
      <c r="S69" s="9" t="s">
        <v>305</v>
      </c>
      <c r="T69" s="9" t="s">
        <v>333</v>
      </c>
      <c r="U69" s="9" t="s">
        <v>334</v>
      </c>
      <c r="V69" s="9" t="s">
        <v>284</v>
      </c>
      <c r="W69" s="9" t="s">
        <v>335</v>
      </c>
    </row>
    <row r="70">
      <c r="B70" s="7" t="s">
        <v>284</v>
      </c>
      <c r="C70" s="7" t="s">
        <v>284</v>
      </c>
      <c r="D70" s="7" t="s">
        <v>284</v>
      </c>
      <c r="E70" s="7" t="s">
        <v>284</v>
      </c>
      <c r="F70" s="8" t="s">
        <v>284</v>
      </c>
      <c r="G70" s="7" t="s">
        <v>284</v>
      </c>
      <c r="H70" s="7" t="s">
        <v>284</v>
      </c>
      <c r="I70" s="7" t="s">
        <v>284</v>
      </c>
      <c r="J70" s="9" t="s">
        <v>284</v>
      </c>
      <c r="K70" s="9" t="s">
        <v>336</v>
      </c>
      <c r="L70" s="9" t="s">
        <v>284</v>
      </c>
      <c r="M70" s="8" t="s">
        <v>337</v>
      </c>
      <c r="N70" s="9" t="s">
        <v>284</v>
      </c>
      <c r="O70" s="10" t="s">
        <v>284</v>
      </c>
      <c r="P70" s="9" t="s">
        <v>284</v>
      </c>
      <c r="Q70" s="9" t="s">
        <v>338</v>
      </c>
      <c r="R70" s="9" t="s">
        <v>284</v>
      </c>
      <c r="S70" s="9" t="s">
        <v>339</v>
      </c>
      <c r="T70" s="9" t="s">
        <v>340</v>
      </c>
      <c r="U70" s="9" t="s">
        <v>286</v>
      </c>
      <c r="V70" s="9" t="s">
        <v>341</v>
      </c>
      <c r="W70" s="9" t="s">
        <v>342</v>
      </c>
    </row>
    <row r="71">
      <c r="B71" s="7" t="s">
        <v>343</v>
      </c>
      <c r="C71" s="7" t="s">
        <v>344</v>
      </c>
      <c r="D71" s="7" t="s">
        <v>284</v>
      </c>
      <c r="E71" s="7" t="s">
        <v>345</v>
      </c>
      <c r="F71" s="8" t="s">
        <v>284</v>
      </c>
      <c r="G71" s="7" t="s">
        <v>284</v>
      </c>
      <c r="H71" s="7" t="s">
        <v>284</v>
      </c>
      <c r="I71" s="7" t="s">
        <v>284</v>
      </c>
      <c r="J71" s="9" t="s">
        <v>346</v>
      </c>
      <c r="K71" s="9" t="s">
        <v>284</v>
      </c>
      <c r="L71" s="9" t="s">
        <v>347</v>
      </c>
      <c r="M71" s="8" t="s">
        <v>348</v>
      </c>
      <c r="N71" s="9" t="s">
        <v>349</v>
      </c>
      <c r="O71" s="10" t="s">
        <v>284</v>
      </c>
      <c r="P71" s="9" t="s">
        <v>338</v>
      </c>
      <c r="Q71" s="9" t="s">
        <v>350</v>
      </c>
      <c r="R71" s="9" t="s">
        <v>351</v>
      </c>
      <c r="S71" s="9" t="s">
        <v>284</v>
      </c>
      <c r="T71" s="9" t="s">
        <v>340</v>
      </c>
      <c r="U71" s="9" t="s">
        <v>284</v>
      </c>
      <c r="V71" s="9" t="s">
        <v>352</v>
      </c>
      <c r="W71" s="9" t="s">
        <v>353</v>
      </c>
    </row>
    <row r="72">
      <c r="B72" s="7" t="s">
        <v>301</v>
      </c>
      <c r="C72" s="7" t="s">
        <v>295</v>
      </c>
      <c r="D72" s="7" t="s">
        <v>284</v>
      </c>
      <c r="E72" s="7" t="s">
        <v>354</v>
      </c>
      <c r="F72" s="8" t="s">
        <v>355</v>
      </c>
      <c r="G72" s="7" t="s">
        <v>284</v>
      </c>
      <c r="H72" s="7" t="s">
        <v>356</v>
      </c>
      <c r="I72" s="7" t="s">
        <v>357</v>
      </c>
      <c r="J72" s="9" t="s">
        <v>358</v>
      </c>
      <c r="K72" s="9" t="s">
        <v>359</v>
      </c>
      <c r="L72" s="9" t="s">
        <v>360</v>
      </c>
      <c r="M72" s="8" t="s">
        <v>361</v>
      </c>
      <c r="N72" s="9" t="s">
        <v>362</v>
      </c>
      <c r="O72" s="10" t="s">
        <v>363</v>
      </c>
      <c r="P72" s="9" t="s">
        <v>289</v>
      </c>
      <c r="Q72" s="9" t="s">
        <v>364</v>
      </c>
      <c r="R72" s="9" t="s">
        <v>365</v>
      </c>
      <c r="S72" s="9" t="s">
        <v>366</v>
      </c>
      <c r="T72" s="9" t="s">
        <v>367</v>
      </c>
      <c r="U72" s="9" t="s">
        <v>368</v>
      </c>
      <c r="V72" s="9" t="s">
        <v>350</v>
      </c>
      <c r="W72" s="9" t="s">
        <v>369</v>
      </c>
    </row>
    <row r="73">
      <c r="B73" s="7" t="s">
        <v>301</v>
      </c>
      <c r="C73" s="7" t="s">
        <v>370</v>
      </c>
      <c r="D73" s="7" t="s">
        <v>284</v>
      </c>
      <c r="E73" s="7" t="s">
        <v>284</v>
      </c>
      <c r="F73" s="8" t="s">
        <v>371</v>
      </c>
      <c r="G73" s="7" t="s">
        <v>284</v>
      </c>
      <c r="H73" s="7" t="s">
        <v>284</v>
      </c>
      <c r="I73" s="7" t="s">
        <v>284</v>
      </c>
      <c r="J73" s="9" t="s">
        <v>372</v>
      </c>
      <c r="K73" s="9" t="s">
        <v>373</v>
      </c>
      <c r="L73" s="9" t="s">
        <v>374</v>
      </c>
      <c r="M73" s="8" t="s">
        <v>375</v>
      </c>
      <c r="N73" s="9" t="s">
        <v>284</v>
      </c>
      <c r="O73" s="10" t="s">
        <v>284</v>
      </c>
      <c r="P73" s="9" t="s">
        <v>289</v>
      </c>
      <c r="Q73" s="9" t="s">
        <v>350</v>
      </c>
      <c r="R73" s="9" t="s">
        <v>315</v>
      </c>
      <c r="S73" s="9" t="s">
        <v>376</v>
      </c>
      <c r="T73" s="9" t="s">
        <v>377</v>
      </c>
      <c r="U73" s="9" t="s">
        <v>378</v>
      </c>
      <c r="V73" s="9" t="s">
        <v>379</v>
      </c>
      <c r="W73" s="9" t="s">
        <v>380</v>
      </c>
    </row>
    <row r="74">
      <c r="B74" s="7" t="s">
        <v>338</v>
      </c>
      <c r="C74" s="7" t="s">
        <v>284</v>
      </c>
      <c r="D74" s="7" t="s">
        <v>284</v>
      </c>
      <c r="E74" s="7" t="s">
        <v>381</v>
      </c>
      <c r="F74" s="8" t="s">
        <v>382</v>
      </c>
      <c r="G74" s="7" t="s">
        <v>284</v>
      </c>
      <c r="H74" s="7" t="s">
        <v>284</v>
      </c>
      <c r="I74" s="7" t="s">
        <v>383</v>
      </c>
      <c r="J74" s="9" t="s">
        <v>284</v>
      </c>
      <c r="K74" s="9" t="s">
        <v>384</v>
      </c>
      <c r="L74" s="9" t="s">
        <v>284</v>
      </c>
      <c r="M74" s="8" t="s">
        <v>385</v>
      </c>
      <c r="N74" s="9" t="s">
        <v>349</v>
      </c>
      <c r="O74" s="10" t="s">
        <v>284</v>
      </c>
      <c r="P74" s="9" t="s">
        <v>352</v>
      </c>
      <c r="Q74" s="9" t="s">
        <v>386</v>
      </c>
      <c r="R74" s="9" t="s">
        <v>387</v>
      </c>
      <c r="S74" s="9" t="s">
        <v>388</v>
      </c>
      <c r="T74" s="9" t="s">
        <v>389</v>
      </c>
      <c r="U74" s="9" t="s">
        <v>390</v>
      </c>
      <c r="V74" s="9" t="s">
        <v>284</v>
      </c>
      <c r="W74" s="9" t="s">
        <v>391</v>
      </c>
    </row>
    <row r="75">
      <c r="B75" s="7" t="s">
        <v>284</v>
      </c>
      <c r="C75" s="7" t="s">
        <v>284</v>
      </c>
      <c r="D75" s="7" t="s">
        <v>284</v>
      </c>
      <c r="E75" s="7" t="s">
        <v>284</v>
      </c>
      <c r="F75" s="8" t="s">
        <v>284</v>
      </c>
      <c r="G75" s="7" t="s">
        <v>284</v>
      </c>
      <c r="H75" s="7" t="s">
        <v>284</v>
      </c>
      <c r="I75" s="7" t="s">
        <v>284</v>
      </c>
      <c r="J75" s="9" t="s">
        <v>284</v>
      </c>
      <c r="K75" s="9" t="s">
        <v>284</v>
      </c>
      <c r="L75" s="9" t="s">
        <v>284</v>
      </c>
      <c r="M75" s="8" t="s">
        <v>284</v>
      </c>
      <c r="N75" s="9" t="s">
        <v>284</v>
      </c>
      <c r="O75" s="10" t="s">
        <v>284</v>
      </c>
      <c r="P75" s="9" t="s">
        <v>284</v>
      </c>
      <c r="Q75" s="9" t="s">
        <v>284</v>
      </c>
      <c r="R75" s="9" t="s">
        <v>392</v>
      </c>
      <c r="S75" s="9" t="s">
        <v>393</v>
      </c>
      <c r="T75" s="9" t="s">
        <v>284</v>
      </c>
      <c r="U75" s="9" t="s">
        <v>284</v>
      </c>
      <c r="V75" s="9" t="s">
        <v>284</v>
      </c>
      <c r="W75" s="9" t="s">
        <v>284</v>
      </c>
    </row>
    <row r="76">
      <c r="B76" s="7" t="s">
        <v>394</v>
      </c>
      <c r="C76" s="7"/>
      <c r="D76" s="7" t="s">
        <v>395</v>
      </c>
      <c r="E76" s="7"/>
      <c r="F76" s="8" t="s">
        <v>396</v>
      </c>
      <c r="G76" s="7" t="s">
        <v>397</v>
      </c>
      <c r="H76" s="7" t="s">
        <v>398</v>
      </c>
      <c r="I76" s="7" t="s">
        <v>399</v>
      </c>
      <c r="J76" s="9" t="s">
        <v>400</v>
      </c>
      <c r="K76" s="9" t="s">
        <v>401</v>
      </c>
      <c r="M76" s="8" t="s">
        <v>402</v>
      </c>
      <c r="N76" s="9" t="s">
        <v>284</v>
      </c>
      <c r="O76" s="10" t="s">
        <v>403</v>
      </c>
      <c r="P76" s="9" t="s">
        <v>284</v>
      </c>
      <c r="Q76" s="9" t="s">
        <v>286</v>
      </c>
      <c r="R76" s="9" t="s">
        <v>404</v>
      </c>
      <c r="S76" s="9" t="s">
        <v>405</v>
      </c>
      <c r="T76" s="9" t="s">
        <v>406</v>
      </c>
      <c r="U76" s="9" t="s">
        <v>407</v>
      </c>
      <c r="V76" s="9" t="s">
        <v>408</v>
      </c>
      <c r="W76" s="9" t="s">
        <v>409</v>
      </c>
    </row>
    <row r="77">
      <c r="B77" s="7" t="s">
        <v>302</v>
      </c>
      <c r="C77" s="7" t="s">
        <v>410</v>
      </c>
      <c r="D77" s="7" t="s">
        <v>411</v>
      </c>
      <c r="E77" s="7" t="s">
        <v>412</v>
      </c>
      <c r="F77" s="8" t="s">
        <v>413</v>
      </c>
      <c r="G77" s="7" t="s">
        <v>284</v>
      </c>
      <c r="H77" s="7" t="s">
        <v>414</v>
      </c>
      <c r="I77" s="7" t="s">
        <v>415</v>
      </c>
      <c r="J77" s="9" t="s">
        <v>416</v>
      </c>
      <c r="K77" s="9" t="s">
        <v>417</v>
      </c>
      <c r="M77" s="8" t="s">
        <v>418</v>
      </c>
      <c r="O77" s="10" t="s">
        <v>419</v>
      </c>
      <c r="P77" s="9" t="s">
        <v>420</v>
      </c>
      <c r="Q77" s="9" t="s">
        <v>358</v>
      </c>
      <c r="R77" s="9" t="s">
        <v>421</v>
      </c>
      <c r="S77" s="9" t="s">
        <v>370</v>
      </c>
      <c r="T77" s="9" t="s">
        <v>422</v>
      </c>
      <c r="U77" s="9" t="s">
        <v>423</v>
      </c>
      <c r="V77" s="9" t="s">
        <v>424</v>
      </c>
      <c r="W77" s="9" t="s">
        <v>425</v>
      </c>
    </row>
    <row r="78">
      <c r="B78" s="7" t="s">
        <v>301</v>
      </c>
      <c r="C78" s="7" t="s">
        <v>284</v>
      </c>
      <c r="D78" s="7" t="s">
        <v>426</v>
      </c>
      <c r="E78" s="7" t="s">
        <v>427</v>
      </c>
      <c r="F78" s="8" t="s">
        <v>428</v>
      </c>
      <c r="G78" s="7" t="s">
        <v>284</v>
      </c>
      <c r="H78" s="7" t="s">
        <v>429</v>
      </c>
      <c r="I78" s="7" t="s">
        <v>430</v>
      </c>
      <c r="J78" s="9" t="s">
        <v>431</v>
      </c>
      <c r="K78" s="9" t="s">
        <v>432</v>
      </c>
      <c r="M78" s="8" t="s">
        <v>433</v>
      </c>
      <c r="O78" s="10" t="s">
        <v>434</v>
      </c>
      <c r="P78" s="9" t="s">
        <v>435</v>
      </c>
      <c r="Q78" s="9" t="s">
        <v>436</v>
      </c>
      <c r="R78" s="9" t="s">
        <v>437</v>
      </c>
      <c r="S78" s="9" t="s">
        <v>438</v>
      </c>
      <c r="T78" s="9" t="s">
        <v>439</v>
      </c>
      <c r="U78" s="9" t="s">
        <v>440</v>
      </c>
      <c r="V78" s="9" t="s">
        <v>441</v>
      </c>
      <c r="W78" s="9" t="s">
        <v>442</v>
      </c>
    </row>
    <row r="79">
      <c r="B79" s="7" t="s">
        <v>443</v>
      </c>
      <c r="C79" s="7"/>
      <c r="D79" s="7" t="s">
        <v>444</v>
      </c>
      <c r="E79" s="7" t="s">
        <v>284</v>
      </c>
      <c r="F79" s="8" t="s">
        <v>445</v>
      </c>
      <c r="G79" s="7"/>
      <c r="H79" s="7" t="s">
        <v>446</v>
      </c>
      <c r="I79" s="7" t="s">
        <v>447</v>
      </c>
      <c r="J79" s="9" t="s">
        <v>448</v>
      </c>
      <c r="K79" s="9" t="s">
        <v>449</v>
      </c>
      <c r="L79" s="9" t="s">
        <v>284</v>
      </c>
      <c r="M79" s="8" t="s">
        <v>450</v>
      </c>
      <c r="O79" s="10" t="s">
        <v>451</v>
      </c>
      <c r="P79" s="9" t="s">
        <v>452</v>
      </c>
      <c r="Q79" s="9" t="s">
        <v>301</v>
      </c>
      <c r="R79" s="9" t="s">
        <v>453</v>
      </c>
      <c r="S79" s="9" t="s">
        <v>454</v>
      </c>
      <c r="T79" s="9" t="s">
        <v>455</v>
      </c>
      <c r="U79" s="9" t="s">
        <v>456</v>
      </c>
      <c r="V79" s="9" t="s">
        <v>284</v>
      </c>
      <c r="W79" s="9" t="s">
        <v>457</v>
      </c>
    </row>
    <row r="80">
      <c r="B80" s="7" t="s">
        <v>458</v>
      </c>
      <c r="C80" s="7"/>
      <c r="D80" s="7" t="s">
        <v>459</v>
      </c>
      <c r="E80" s="7"/>
      <c r="F80" s="8" t="s">
        <v>460</v>
      </c>
      <c r="G80" s="7" t="s">
        <v>284</v>
      </c>
      <c r="H80" s="7" t="s">
        <v>461</v>
      </c>
      <c r="I80" s="7" t="s">
        <v>462</v>
      </c>
      <c r="J80" s="9" t="s">
        <v>463</v>
      </c>
      <c r="K80" s="9" t="s">
        <v>464</v>
      </c>
      <c r="M80" s="8" t="s">
        <v>465</v>
      </c>
      <c r="O80" s="10" t="s">
        <v>466</v>
      </c>
      <c r="P80" s="9" t="s">
        <v>467</v>
      </c>
      <c r="Q80" s="9" t="s">
        <v>468</v>
      </c>
      <c r="R80" s="9" t="s">
        <v>469</v>
      </c>
      <c r="S80" s="9" t="s">
        <v>470</v>
      </c>
      <c r="T80" s="9" t="s">
        <v>471</v>
      </c>
      <c r="U80" s="9" t="s">
        <v>472</v>
      </c>
      <c r="V80" s="9" t="s">
        <v>473</v>
      </c>
      <c r="W80" s="9" t="s">
        <v>474</v>
      </c>
    </row>
    <row r="81">
      <c r="B81" s="7" t="s">
        <v>475</v>
      </c>
      <c r="C81" s="7" t="s">
        <v>476</v>
      </c>
      <c r="D81" s="7" t="s">
        <v>477</v>
      </c>
      <c r="E81" s="7" t="s">
        <v>478</v>
      </c>
      <c r="F81" s="8" t="s">
        <v>479</v>
      </c>
      <c r="G81" s="7" t="s">
        <v>480</v>
      </c>
      <c r="H81" s="7" t="s">
        <v>481</v>
      </c>
      <c r="I81" s="7" t="s">
        <v>482</v>
      </c>
      <c r="J81" s="9" t="s">
        <v>483</v>
      </c>
      <c r="K81" s="9" t="s">
        <v>484</v>
      </c>
      <c r="L81" s="9" t="s">
        <v>485</v>
      </c>
      <c r="M81" s="8" t="s">
        <v>486</v>
      </c>
      <c r="O81" s="10" t="s">
        <v>487</v>
      </c>
      <c r="P81" s="9" t="s">
        <v>488</v>
      </c>
      <c r="Q81" s="9" t="s">
        <v>489</v>
      </c>
      <c r="R81" s="9" t="s">
        <v>490</v>
      </c>
      <c r="S81" s="9" t="s">
        <v>491</v>
      </c>
      <c r="T81" s="9" t="s">
        <v>492</v>
      </c>
      <c r="U81" s="9" t="s">
        <v>493</v>
      </c>
      <c r="V81" s="9" t="s">
        <v>494</v>
      </c>
      <c r="W81" s="9" t="s">
        <v>495</v>
      </c>
    </row>
    <row r="82">
      <c r="B82" s="10"/>
      <c r="C82" s="10"/>
      <c r="D82" s="10"/>
      <c r="E82" s="10"/>
      <c r="F82" s="10"/>
      <c r="G82" s="10"/>
      <c r="H82" s="10"/>
      <c r="I82" s="10"/>
      <c r="M82" s="10"/>
      <c r="O82" s="10"/>
    </row>
    <row r="83">
      <c r="B83" s="10"/>
      <c r="C83" s="10"/>
      <c r="D83" s="10"/>
      <c r="E83" s="10"/>
      <c r="F83" s="10"/>
      <c r="G83" s="10"/>
      <c r="H83" s="10"/>
      <c r="I83" s="10"/>
      <c r="M83" s="10"/>
      <c r="O83" s="10"/>
    </row>
    <row r="84">
      <c r="B84" s="10"/>
      <c r="C84" s="10"/>
      <c r="D84" s="10"/>
      <c r="E84" s="10"/>
      <c r="F84" s="10"/>
      <c r="G84" s="10"/>
      <c r="H84" s="10"/>
      <c r="I84" s="10"/>
      <c r="M84" s="10"/>
      <c r="O84" s="10"/>
    </row>
    <row r="85">
      <c r="B85" s="10"/>
      <c r="C85" s="10"/>
      <c r="D85" s="10"/>
      <c r="E85" s="10"/>
      <c r="F85" s="10"/>
      <c r="G85" s="10"/>
      <c r="H85" s="10"/>
      <c r="I85" s="10"/>
      <c r="M85" s="10"/>
      <c r="O85" s="10"/>
    </row>
    <row r="86">
      <c r="B86" s="10"/>
      <c r="C86" s="10"/>
      <c r="D86" s="10"/>
      <c r="E86" s="10"/>
      <c r="F86" s="10"/>
      <c r="G86" s="10"/>
      <c r="H86" s="10"/>
      <c r="I86" s="10"/>
      <c r="M86" s="10"/>
      <c r="O86" s="10"/>
    </row>
    <row r="87">
      <c r="B87" s="10"/>
      <c r="C87" s="10"/>
      <c r="D87" s="10"/>
      <c r="E87" s="10"/>
      <c r="F87" s="10"/>
      <c r="G87" s="10"/>
      <c r="H87" s="10"/>
      <c r="I87" s="10"/>
      <c r="M87" s="10"/>
      <c r="O87" s="10"/>
    </row>
    <row r="88">
      <c r="B88" s="10"/>
      <c r="C88" s="10"/>
      <c r="D88" s="10"/>
      <c r="E88" s="10"/>
      <c r="F88" s="10"/>
      <c r="G88" s="10"/>
      <c r="H88" s="10"/>
      <c r="I88" s="10"/>
      <c r="M88" s="10"/>
      <c r="O88" s="10"/>
    </row>
    <row r="89">
      <c r="B89" s="10"/>
      <c r="C89" s="10"/>
      <c r="D89" s="10"/>
      <c r="E89" s="10"/>
      <c r="F89" s="10"/>
      <c r="G89" s="10"/>
      <c r="H89" s="10"/>
      <c r="I89" s="10"/>
      <c r="M89" s="10"/>
      <c r="O89" s="10"/>
    </row>
    <row r="90">
      <c r="B90" s="10"/>
      <c r="C90" s="10"/>
      <c r="D90" s="10"/>
      <c r="E90" s="10"/>
      <c r="F90" s="10"/>
      <c r="G90" s="10"/>
      <c r="H90" s="10"/>
      <c r="I90" s="10"/>
      <c r="M90" s="10"/>
      <c r="O90" s="10"/>
    </row>
    <row r="91">
      <c r="B91" s="10"/>
      <c r="C91" s="10"/>
      <c r="D91" s="10"/>
      <c r="E91" s="10"/>
      <c r="F91" s="10"/>
      <c r="G91" s="10"/>
      <c r="H91" s="10"/>
      <c r="I91" s="10"/>
      <c r="M91" s="10"/>
      <c r="O91" s="10"/>
    </row>
    <row r="92">
      <c r="B92" s="10"/>
      <c r="C92" s="10"/>
      <c r="D92" s="10"/>
      <c r="E92" s="10"/>
      <c r="F92" s="10"/>
      <c r="G92" s="10"/>
      <c r="H92" s="10"/>
      <c r="I92" s="10"/>
      <c r="M92" s="10"/>
      <c r="O92" s="10"/>
    </row>
    <row r="93">
      <c r="B93" s="10"/>
      <c r="C93" s="10"/>
      <c r="D93" s="10"/>
      <c r="E93" s="10"/>
      <c r="F93" s="10"/>
      <c r="G93" s="10"/>
      <c r="H93" s="10"/>
      <c r="I93" s="10"/>
      <c r="M93" s="10"/>
      <c r="O93" s="10"/>
    </row>
    <row r="94">
      <c r="B94" s="10"/>
      <c r="C94" s="10"/>
      <c r="D94" s="10"/>
      <c r="E94" s="10"/>
      <c r="F94" s="10"/>
      <c r="G94" s="10"/>
      <c r="H94" s="10"/>
      <c r="I94" s="10"/>
      <c r="M94" s="10"/>
      <c r="O94" s="10"/>
    </row>
    <row r="95">
      <c r="B95" s="10"/>
      <c r="C95" s="10"/>
      <c r="D95" s="10"/>
      <c r="E95" s="10"/>
      <c r="F95" s="10"/>
      <c r="G95" s="10"/>
      <c r="H95" s="10"/>
      <c r="I95" s="10"/>
      <c r="M95" s="10"/>
      <c r="O95" s="10"/>
    </row>
    <row r="96">
      <c r="B96" s="10"/>
      <c r="C96" s="10"/>
      <c r="D96" s="10"/>
      <c r="E96" s="10"/>
      <c r="F96" s="10"/>
      <c r="G96" s="10"/>
      <c r="H96" s="10"/>
      <c r="I96" s="10"/>
      <c r="M96" s="10"/>
      <c r="O96" s="10"/>
    </row>
    <row r="97">
      <c r="B97" s="10"/>
      <c r="C97" s="10"/>
      <c r="D97" s="10"/>
      <c r="E97" s="10"/>
      <c r="F97" s="10"/>
      <c r="G97" s="10"/>
      <c r="H97" s="10"/>
      <c r="I97" s="10"/>
      <c r="M97" s="10"/>
      <c r="O97" s="10"/>
    </row>
    <row r="98">
      <c r="B98" s="10"/>
      <c r="C98" s="10"/>
      <c r="D98" s="10"/>
      <c r="E98" s="10"/>
      <c r="F98" s="10"/>
      <c r="G98" s="10"/>
      <c r="H98" s="10"/>
      <c r="I98" s="10"/>
      <c r="M98" s="10"/>
      <c r="O98" s="10"/>
    </row>
    <row r="99">
      <c r="B99" s="10"/>
      <c r="C99" s="10"/>
      <c r="D99" s="10"/>
      <c r="E99" s="10"/>
      <c r="F99" s="10"/>
      <c r="G99" s="10"/>
      <c r="H99" s="10"/>
      <c r="I99" s="10"/>
      <c r="M99" s="10"/>
      <c r="O99" s="10"/>
    </row>
    <row r="100">
      <c r="B100" s="10"/>
      <c r="C100" s="10"/>
      <c r="D100" s="10"/>
      <c r="E100" s="10"/>
      <c r="F100" s="10"/>
      <c r="G100" s="10"/>
      <c r="H100" s="10"/>
      <c r="I100" s="10"/>
      <c r="M100" s="10"/>
      <c r="O100" s="10"/>
    </row>
    <row r="101">
      <c r="B101" s="10"/>
      <c r="C101" s="10"/>
      <c r="D101" s="10"/>
      <c r="E101" s="10"/>
      <c r="F101" s="10"/>
      <c r="G101" s="10"/>
      <c r="H101" s="10"/>
      <c r="I101" s="10"/>
      <c r="M101" s="10"/>
      <c r="O101" s="10"/>
    </row>
    <row r="102">
      <c r="B102" s="10"/>
      <c r="C102" s="10"/>
      <c r="D102" s="10"/>
      <c r="E102" s="10"/>
      <c r="F102" s="10"/>
      <c r="G102" s="10"/>
      <c r="H102" s="10"/>
      <c r="I102" s="10"/>
      <c r="M102" s="10"/>
      <c r="O102" s="10"/>
    </row>
    <row r="103">
      <c r="B103" s="10"/>
      <c r="C103" s="10"/>
      <c r="D103" s="10"/>
      <c r="E103" s="10"/>
      <c r="F103" s="10"/>
      <c r="G103" s="10"/>
      <c r="H103" s="10"/>
      <c r="I103" s="10"/>
      <c r="M103" s="10"/>
      <c r="O103" s="10"/>
    </row>
    <row r="104">
      <c r="B104" s="10"/>
      <c r="C104" s="10"/>
      <c r="D104" s="10"/>
      <c r="E104" s="10"/>
      <c r="F104" s="10"/>
      <c r="G104" s="10"/>
      <c r="H104" s="10"/>
      <c r="I104" s="10"/>
      <c r="M104" s="10"/>
      <c r="O104" s="10"/>
    </row>
    <row r="105">
      <c r="B105" s="10"/>
      <c r="C105" s="10"/>
      <c r="D105" s="10"/>
      <c r="E105" s="10"/>
      <c r="F105" s="10"/>
      <c r="G105" s="10"/>
      <c r="H105" s="10"/>
      <c r="I105" s="10"/>
      <c r="M105" s="10"/>
      <c r="O105" s="10"/>
    </row>
    <row r="106">
      <c r="B106" s="10"/>
      <c r="C106" s="10"/>
      <c r="D106" s="10"/>
      <c r="E106" s="10"/>
      <c r="F106" s="10"/>
      <c r="G106" s="10"/>
      <c r="H106" s="10"/>
      <c r="I106" s="10"/>
      <c r="M106" s="10"/>
      <c r="O106" s="10"/>
    </row>
    <row r="107">
      <c r="B107" s="10"/>
      <c r="C107" s="10"/>
      <c r="D107" s="10"/>
      <c r="E107" s="10"/>
      <c r="F107" s="10"/>
      <c r="G107" s="10"/>
      <c r="H107" s="10"/>
      <c r="I107" s="10"/>
      <c r="M107" s="10"/>
      <c r="O107" s="10"/>
    </row>
    <row r="108">
      <c r="B108" s="10"/>
      <c r="C108" s="10"/>
      <c r="D108" s="10"/>
      <c r="E108" s="10"/>
      <c r="F108" s="10"/>
      <c r="G108" s="10"/>
      <c r="H108" s="10"/>
      <c r="I108" s="10"/>
      <c r="M108" s="10"/>
      <c r="O108" s="10"/>
    </row>
    <row r="109">
      <c r="B109" s="10"/>
      <c r="C109" s="10"/>
      <c r="D109" s="10"/>
      <c r="E109" s="10"/>
      <c r="F109" s="10"/>
      <c r="G109" s="10"/>
      <c r="H109" s="10"/>
      <c r="I109" s="10"/>
      <c r="M109" s="10"/>
      <c r="O109" s="10"/>
    </row>
    <row r="110">
      <c r="B110" s="10"/>
      <c r="C110" s="10"/>
      <c r="D110" s="10"/>
      <c r="E110" s="10"/>
      <c r="F110" s="10"/>
      <c r="G110" s="10"/>
      <c r="H110" s="10"/>
      <c r="I110" s="10"/>
      <c r="M110" s="10"/>
      <c r="O110" s="10"/>
    </row>
    <row r="111">
      <c r="B111" s="10"/>
      <c r="C111" s="10"/>
      <c r="D111" s="10"/>
      <c r="E111" s="10"/>
      <c r="F111" s="10"/>
      <c r="G111" s="10"/>
      <c r="H111" s="10"/>
      <c r="I111" s="10"/>
      <c r="M111" s="10"/>
      <c r="O111" s="10"/>
    </row>
    <row r="112">
      <c r="B112" s="10"/>
      <c r="C112" s="10"/>
      <c r="D112" s="10"/>
      <c r="E112" s="10"/>
      <c r="F112" s="10"/>
      <c r="G112" s="10"/>
      <c r="H112" s="10"/>
      <c r="I112" s="10"/>
      <c r="M112" s="10"/>
      <c r="O112" s="10"/>
    </row>
    <row r="113">
      <c r="B113" s="10"/>
      <c r="C113" s="10"/>
      <c r="D113" s="10"/>
      <c r="E113" s="10"/>
      <c r="F113" s="10"/>
      <c r="G113" s="10"/>
      <c r="H113" s="10"/>
      <c r="I113" s="10"/>
      <c r="M113" s="10"/>
      <c r="O113" s="10"/>
    </row>
    <row r="114">
      <c r="B114" s="10"/>
      <c r="C114" s="10"/>
      <c r="D114" s="10"/>
      <c r="E114" s="10"/>
      <c r="F114" s="10"/>
      <c r="G114" s="10"/>
      <c r="H114" s="10"/>
      <c r="I114" s="10"/>
      <c r="M114" s="10"/>
      <c r="O114" s="10"/>
    </row>
    <row r="115">
      <c r="B115" s="10"/>
      <c r="C115" s="10"/>
      <c r="D115" s="10"/>
      <c r="E115" s="10"/>
      <c r="F115" s="10"/>
      <c r="G115" s="10"/>
      <c r="H115" s="10"/>
      <c r="I115" s="10"/>
      <c r="M115" s="10"/>
      <c r="O115" s="10"/>
    </row>
    <row r="116">
      <c r="B116" s="10"/>
      <c r="C116" s="10"/>
      <c r="D116" s="10"/>
      <c r="E116" s="10"/>
      <c r="F116" s="10"/>
      <c r="G116" s="10"/>
      <c r="H116" s="10"/>
      <c r="I116" s="10"/>
      <c r="M116" s="10"/>
      <c r="O116" s="10"/>
    </row>
    <row r="117">
      <c r="B117" s="10"/>
      <c r="C117" s="10"/>
      <c r="D117" s="10"/>
      <c r="E117" s="10"/>
      <c r="F117" s="10"/>
      <c r="G117" s="10"/>
      <c r="H117" s="10"/>
      <c r="I117" s="10"/>
      <c r="M117" s="10"/>
      <c r="O117" s="10"/>
    </row>
    <row r="118">
      <c r="B118" s="10"/>
      <c r="C118" s="10"/>
      <c r="D118" s="10"/>
      <c r="E118" s="10"/>
      <c r="F118" s="10"/>
      <c r="G118" s="10"/>
      <c r="H118" s="10"/>
      <c r="I118" s="10"/>
      <c r="M118" s="10"/>
      <c r="O118" s="10"/>
    </row>
    <row r="119">
      <c r="B119" s="10"/>
      <c r="C119" s="10"/>
      <c r="D119" s="10"/>
      <c r="E119" s="10"/>
      <c r="F119" s="10"/>
      <c r="G119" s="10"/>
      <c r="H119" s="10"/>
      <c r="I119" s="10"/>
      <c r="M119" s="10"/>
      <c r="O119" s="10"/>
    </row>
    <row r="120">
      <c r="B120" s="10"/>
      <c r="C120" s="10"/>
      <c r="D120" s="10"/>
      <c r="E120" s="10"/>
      <c r="F120" s="10"/>
      <c r="G120" s="10"/>
      <c r="H120" s="10"/>
      <c r="I120" s="10"/>
      <c r="M120" s="10"/>
      <c r="O120" s="10"/>
    </row>
    <row r="121">
      <c r="B121" s="10"/>
      <c r="C121" s="10"/>
      <c r="D121" s="10"/>
      <c r="E121" s="10"/>
      <c r="F121" s="10"/>
      <c r="G121" s="10"/>
      <c r="H121" s="10"/>
      <c r="I121" s="10"/>
      <c r="M121" s="10"/>
      <c r="O121" s="10"/>
    </row>
    <row r="122">
      <c r="B122" s="10"/>
      <c r="C122" s="10"/>
      <c r="D122" s="10"/>
      <c r="E122" s="10"/>
      <c r="F122" s="10"/>
      <c r="G122" s="10"/>
      <c r="H122" s="10"/>
      <c r="I122" s="10"/>
      <c r="M122" s="10"/>
      <c r="O122" s="10"/>
    </row>
    <row r="123">
      <c r="B123" s="10"/>
      <c r="C123" s="10"/>
      <c r="D123" s="10"/>
      <c r="E123" s="10"/>
      <c r="F123" s="10"/>
      <c r="G123" s="10"/>
      <c r="H123" s="10"/>
      <c r="I123" s="10"/>
      <c r="M123" s="10"/>
      <c r="O123" s="10"/>
    </row>
    <row r="124">
      <c r="B124" s="10"/>
      <c r="C124" s="10"/>
      <c r="D124" s="10"/>
      <c r="E124" s="10"/>
      <c r="F124" s="10"/>
      <c r="G124" s="10"/>
      <c r="H124" s="10"/>
      <c r="I124" s="10"/>
      <c r="M124" s="10"/>
      <c r="O124" s="10"/>
    </row>
    <row r="125">
      <c r="B125" s="10"/>
      <c r="C125" s="10"/>
      <c r="D125" s="10"/>
      <c r="E125" s="10"/>
      <c r="F125" s="10"/>
      <c r="G125" s="10"/>
      <c r="H125" s="10"/>
      <c r="I125" s="10"/>
      <c r="M125" s="10"/>
      <c r="O125" s="10"/>
    </row>
    <row r="126">
      <c r="B126" s="10"/>
      <c r="C126" s="10"/>
      <c r="D126" s="10"/>
      <c r="E126" s="10"/>
      <c r="F126" s="10"/>
      <c r="G126" s="10"/>
      <c r="H126" s="10"/>
      <c r="I126" s="10"/>
      <c r="M126" s="10"/>
      <c r="O126" s="10"/>
    </row>
    <row r="127">
      <c r="B127" s="10"/>
      <c r="C127" s="10"/>
      <c r="D127" s="10"/>
      <c r="E127" s="10"/>
      <c r="F127" s="10"/>
      <c r="G127" s="10"/>
      <c r="H127" s="10"/>
      <c r="I127" s="10"/>
      <c r="M127" s="10"/>
      <c r="O127" s="10"/>
    </row>
    <row r="128">
      <c r="B128" s="10"/>
      <c r="C128" s="10"/>
      <c r="D128" s="10"/>
      <c r="E128" s="10"/>
      <c r="F128" s="10"/>
      <c r="G128" s="10"/>
      <c r="H128" s="10"/>
      <c r="I128" s="10"/>
      <c r="M128" s="10"/>
      <c r="O128" s="10"/>
    </row>
    <row r="129">
      <c r="B129" s="10"/>
      <c r="C129" s="10"/>
      <c r="D129" s="10"/>
      <c r="E129" s="10"/>
      <c r="F129" s="10"/>
      <c r="G129" s="10"/>
      <c r="H129" s="10"/>
      <c r="I129" s="10"/>
      <c r="M129" s="10"/>
      <c r="O129" s="10"/>
    </row>
    <row r="130">
      <c r="B130" s="10"/>
      <c r="C130" s="10"/>
      <c r="D130" s="10"/>
      <c r="E130" s="10"/>
      <c r="F130" s="10"/>
      <c r="G130" s="10"/>
      <c r="H130" s="10"/>
      <c r="I130" s="10"/>
      <c r="M130" s="10"/>
      <c r="O130" s="10"/>
    </row>
    <row r="131">
      <c r="B131" s="10"/>
      <c r="C131" s="10"/>
      <c r="D131" s="10"/>
      <c r="E131" s="10"/>
      <c r="F131" s="10"/>
      <c r="G131" s="10"/>
      <c r="H131" s="10"/>
      <c r="I131" s="10"/>
      <c r="M131" s="10"/>
      <c r="O131" s="10"/>
    </row>
    <row r="132">
      <c r="B132" s="10"/>
      <c r="C132" s="10"/>
      <c r="D132" s="10"/>
      <c r="E132" s="10"/>
      <c r="F132" s="10"/>
      <c r="G132" s="10"/>
      <c r="H132" s="10"/>
      <c r="I132" s="10"/>
      <c r="M132" s="10"/>
      <c r="O132" s="10"/>
    </row>
    <row r="133">
      <c r="B133" s="10"/>
      <c r="C133" s="10"/>
      <c r="D133" s="10"/>
      <c r="E133" s="10"/>
      <c r="F133" s="10"/>
      <c r="G133" s="10"/>
      <c r="H133" s="10"/>
      <c r="I133" s="10"/>
      <c r="M133" s="10"/>
      <c r="O133" s="10"/>
    </row>
    <row r="134">
      <c r="B134" s="10"/>
      <c r="C134" s="10"/>
      <c r="D134" s="10"/>
      <c r="E134" s="10"/>
      <c r="F134" s="10"/>
      <c r="G134" s="10"/>
      <c r="H134" s="10"/>
      <c r="I134" s="10"/>
      <c r="M134" s="10"/>
      <c r="O134" s="10"/>
    </row>
    <row r="135">
      <c r="B135" s="10"/>
      <c r="C135" s="10"/>
      <c r="D135" s="10"/>
      <c r="E135" s="10"/>
      <c r="F135" s="10"/>
      <c r="G135" s="10"/>
      <c r="H135" s="10"/>
      <c r="I135" s="10"/>
      <c r="M135" s="10"/>
      <c r="O135" s="10"/>
    </row>
    <row r="136">
      <c r="B136" s="10"/>
      <c r="C136" s="10"/>
      <c r="D136" s="10"/>
      <c r="E136" s="10"/>
      <c r="F136" s="10"/>
      <c r="G136" s="10"/>
      <c r="H136" s="10"/>
      <c r="I136" s="10"/>
      <c r="M136" s="10"/>
      <c r="O136" s="10"/>
    </row>
    <row r="137">
      <c r="B137" s="10"/>
      <c r="C137" s="10"/>
      <c r="D137" s="10"/>
      <c r="E137" s="10"/>
      <c r="F137" s="10"/>
      <c r="G137" s="10"/>
      <c r="H137" s="10"/>
      <c r="I137" s="10"/>
      <c r="M137" s="10"/>
      <c r="O137" s="10"/>
    </row>
    <row r="138">
      <c r="B138" s="10"/>
      <c r="C138" s="10"/>
      <c r="D138" s="10"/>
      <c r="E138" s="10"/>
      <c r="F138" s="10"/>
      <c r="G138" s="10"/>
      <c r="H138" s="10"/>
      <c r="I138" s="10"/>
      <c r="M138" s="10"/>
      <c r="O138" s="10"/>
    </row>
    <row r="139">
      <c r="B139" s="10"/>
      <c r="C139" s="10"/>
      <c r="D139" s="10"/>
      <c r="E139" s="10"/>
      <c r="F139" s="10"/>
      <c r="G139" s="10"/>
      <c r="H139" s="10"/>
      <c r="I139" s="10"/>
      <c r="M139" s="10"/>
      <c r="O139" s="10"/>
    </row>
    <row r="140">
      <c r="B140" s="10"/>
      <c r="C140" s="10"/>
      <c r="D140" s="10"/>
      <c r="E140" s="10"/>
      <c r="F140" s="10"/>
      <c r="G140" s="10"/>
      <c r="H140" s="10"/>
      <c r="I140" s="10"/>
      <c r="M140" s="10"/>
      <c r="O140" s="10"/>
    </row>
    <row r="141">
      <c r="B141" s="10"/>
      <c r="C141" s="10"/>
      <c r="D141" s="10"/>
      <c r="E141" s="10"/>
      <c r="F141" s="10"/>
      <c r="G141" s="10"/>
      <c r="H141" s="10"/>
      <c r="I141" s="10"/>
      <c r="M141" s="10"/>
      <c r="O141" s="10"/>
    </row>
    <row r="142">
      <c r="B142" s="10"/>
      <c r="C142" s="10"/>
      <c r="D142" s="10"/>
      <c r="E142" s="10"/>
      <c r="F142" s="10"/>
      <c r="G142" s="10"/>
      <c r="H142" s="10"/>
      <c r="I142" s="10"/>
      <c r="M142" s="10"/>
      <c r="O142" s="10"/>
    </row>
    <row r="143">
      <c r="B143" s="10"/>
      <c r="C143" s="10"/>
      <c r="D143" s="10"/>
      <c r="E143" s="10"/>
      <c r="F143" s="10"/>
      <c r="G143" s="10"/>
      <c r="H143" s="10"/>
      <c r="I143" s="10"/>
      <c r="M143" s="10"/>
      <c r="O143" s="10"/>
    </row>
    <row r="144">
      <c r="B144" s="10"/>
      <c r="C144" s="10"/>
      <c r="D144" s="10"/>
      <c r="E144" s="10"/>
      <c r="F144" s="10"/>
      <c r="G144" s="10"/>
      <c r="H144" s="10"/>
      <c r="I144" s="10"/>
      <c r="M144" s="10"/>
      <c r="O144" s="10"/>
    </row>
    <row r="145">
      <c r="B145" s="10"/>
      <c r="C145" s="10"/>
      <c r="D145" s="10"/>
      <c r="E145" s="10"/>
      <c r="F145" s="10"/>
      <c r="G145" s="10"/>
      <c r="H145" s="10"/>
      <c r="I145" s="10"/>
      <c r="M145" s="10"/>
      <c r="O145" s="10"/>
    </row>
    <row r="146">
      <c r="B146" s="10"/>
      <c r="C146" s="10"/>
      <c r="D146" s="10"/>
      <c r="E146" s="10"/>
      <c r="F146" s="10"/>
      <c r="G146" s="10"/>
      <c r="H146" s="10"/>
      <c r="I146" s="10"/>
      <c r="M146" s="10"/>
      <c r="O146" s="10"/>
    </row>
    <row r="147">
      <c r="B147" s="10"/>
      <c r="C147" s="10"/>
      <c r="D147" s="10"/>
      <c r="E147" s="10"/>
      <c r="F147" s="10"/>
      <c r="G147" s="10"/>
      <c r="H147" s="10"/>
      <c r="I147" s="10"/>
      <c r="M147" s="10"/>
      <c r="O147" s="10"/>
    </row>
    <row r="148">
      <c r="B148" s="10"/>
      <c r="C148" s="10"/>
      <c r="D148" s="10"/>
      <c r="E148" s="10"/>
      <c r="F148" s="10"/>
      <c r="G148" s="10"/>
      <c r="H148" s="10"/>
      <c r="I148" s="10"/>
      <c r="M148" s="10"/>
      <c r="O148" s="10"/>
    </row>
    <row r="149">
      <c r="B149" s="10"/>
      <c r="C149" s="10"/>
      <c r="D149" s="10"/>
      <c r="E149" s="10"/>
      <c r="F149" s="10"/>
      <c r="G149" s="10"/>
      <c r="H149" s="10"/>
      <c r="I149" s="10"/>
      <c r="M149" s="10"/>
      <c r="O149" s="10"/>
    </row>
    <row r="150">
      <c r="B150" s="10"/>
      <c r="C150" s="10"/>
      <c r="D150" s="10"/>
      <c r="E150" s="10"/>
      <c r="F150" s="10"/>
      <c r="G150" s="10"/>
      <c r="H150" s="10"/>
      <c r="I150" s="10"/>
      <c r="M150" s="10"/>
      <c r="O150" s="10"/>
    </row>
    <row r="151">
      <c r="B151" s="10"/>
      <c r="C151" s="10"/>
      <c r="D151" s="10"/>
      <c r="E151" s="10"/>
      <c r="F151" s="10"/>
      <c r="G151" s="10"/>
      <c r="H151" s="10"/>
      <c r="I151" s="10"/>
      <c r="M151" s="10"/>
      <c r="O151" s="10"/>
    </row>
    <row r="152">
      <c r="B152" s="10"/>
      <c r="C152" s="10"/>
      <c r="D152" s="10"/>
      <c r="E152" s="10"/>
      <c r="F152" s="10"/>
      <c r="G152" s="10"/>
      <c r="H152" s="10"/>
      <c r="I152" s="10"/>
      <c r="M152" s="10"/>
      <c r="O152" s="10"/>
    </row>
    <row r="153">
      <c r="B153" s="10"/>
      <c r="C153" s="10"/>
      <c r="D153" s="10"/>
      <c r="E153" s="10"/>
      <c r="F153" s="10"/>
      <c r="G153" s="10"/>
      <c r="H153" s="10"/>
      <c r="I153" s="10"/>
      <c r="M153" s="10"/>
      <c r="O153" s="10"/>
    </row>
    <row r="154">
      <c r="B154" s="10"/>
      <c r="C154" s="10"/>
      <c r="D154" s="10"/>
      <c r="E154" s="10"/>
      <c r="F154" s="10"/>
      <c r="G154" s="10"/>
      <c r="H154" s="10"/>
      <c r="I154" s="10"/>
      <c r="M154" s="10"/>
      <c r="O154" s="10"/>
    </row>
    <row r="155">
      <c r="B155" s="10"/>
      <c r="C155" s="10"/>
      <c r="D155" s="10"/>
      <c r="E155" s="10"/>
      <c r="F155" s="10"/>
      <c r="G155" s="10"/>
      <c r="H155" s="10"/>
      <c r="I155" s="10"/>
      <c r="M155" s="10"/>
      <c r="O155" s="10"/>
    </row>
    <row r="156">
      <c r="B156" s="10"/>
      <c r="C156" s="10"/>
      <c r="D156" s="10"/>
      <c r="E156" s="10"/>
      <c r="F156" s="10"/>
      <c r="G156" s="10"/>
      <c r="H156" s="10"/>
      <c r="I156" s="10"/>
      <c r="M156" s="10"/>
      <c r="O156" s="10"/>
    </row>
    <row r="157">
      <c r="B157" s="10"/>
      <c r="C157" s="10"/>
      <c r="D157" s="10"/>
      <c r="E157" s="10"/>
      <c r="F157" s="10"/>
      <c r="G157" s="10"/>
      <c r="H157" s="10"/>
      <c r="I157" s="10"/>
      <c r="M157" s="10"/>
      <c r="O157" s="10"/>
    </row>
    <row r="158">
      <c r="B158" s="10"/>
      <c r="C158" s="10"/>
      <c r="D158" s="10"/>
      <c r="E158" s="10"/>
      <c r="F158" s="10"/>
      <c r="G158" s="10"/>
      <c r="H158" s="10"/>
      <c r="I158" s="10"/>
      <c r="M158" s="10"/>
      <c r="O158" s="10"/>
    </row>
    <row r="159">
      <c r="B159" s="10"/>
      <c r="C159" s="10"/>
      <c r="D159" s="10"/>
      <c r="E159" s="10"/>
      <c r="F159" s="10"/>
      <c r="G159" s="10"/>
      <c r="H159" s="10"/>
      <c r="I159" s="10"/>
      <c r="M159" s="10"/>
      <c r="O159" s="10"/>
    </row>
    <row r="160">
      <c r="B160" s="10"/>
      <c r="C160" s="10"/>
      <c r="D160" s="10"/>
      <c r="E160" s="10"/>
      <c r="F160" s="10"/>
      <c r="G160" s="10"/>
      <c r="H160" s="10"/>
      <c r="I160" s="10"/>
      <c r="M160" s="10"/>
      <c r="O160" s="10"/>
    </row>
    <row r="161">
      <c r="B161" s="10"/>
      <c r="C161" s="10"/>
      <c r="D161" s="10"/>
      <c r="E161" s="10"/>
      <c r="F161" s="10"/>
      <c r="G161" s="10"/>
      <c r="H161" s="10"/>
      <c r="I161" s="10"/>
      <c r="M161" s="10"/>
      <c r="O161" s="10"/>
    </row>
    <row r="162">
      <c r="B162" s="10"/>
      <c r="C162" s="10"/>
      <c r="D162" s="10"/>
      <c r="E162" s="10"/>
      <c r="F162" s="10"/>
      <c r="G162" s="10"/>
      <c r="H162" s="10"/>
      <c r="I162" s="10"/>
      <c r="M162" s="10"/>
      <c r="O162" s="10"/>
    </row>
    <row r="163">
      <c r="B163" s="10"/>
      <c r="C163" s="10"/>
      <c r="D163" s="10"/>
      <c r="E163" s="10"/>
      <c r="F163" s="10"/>
      <c r="G163" s="10"/>
      <c r="H163" s="10"/>
      <c r="I163" s="10"/>
      <c r="M163" s="10"/>
      <c r="O163" s="10"/>
    </row>
    <row r="164">
      <c r="B164" s="10"/>
      <c r="C164" s="10"/>
      <c r="D164" s="10"/>
      <c r="E164" s="10"/>
      <c r="F164" s="10"/>
      <c r="G164" s="10"/>
      <c r="H164" s="10"/>
      <c r="I164" s="10"/>
      <c r="M164" s="10"/>
      <c r="O164" s="10"/>
    </row>
    <row r="165">
      <c r="B165" s="10"/>
      <c r="C165" s="10"/>
      <c r="D165" s="10"/>
      <c r="E165" s="10"/>
      <c r="F165" s="10"/>
      <c r="G165" s="10"/>
      <c r="H165" s="10"/>
      <c r="I165" s="10"/>
      <c r="M165" s="10"/>
      <c r="O165" s="10"/>
    </row>
    <row r="166">
      <c r="B166" s="10"/>
      <c r="C166" s="10"/>
      <c r="D166" s="10"/>
      <c r="E166" s="10"/>
      <c r="F166" s="10"/>
      <c r="G166" s="10"/>
      <c r="H166" s="10"/>
      <c r="I166" s="10"/>
      <c r="M166" s="10"/>
      <c r="O166" s="10"/>
    </row>
    <row r="167">
      <c r="B167" s="10"/>
      <c r="C167" s="10"/>
      <c r="D167" s="10"/>
      <c r="E167" s="10"/>
      <c r="F167" s="10"/>
      <c r="G167" s="10"/>
      <c r="H167" s="10"/>
      <c r="I167" s="10"/>
      <c r="M167" s="10"/>
      <c r="O167" s="10"/>
    </row>
    <row r="168">
      <c r="B168" s="10"/>
      <c r="C168" s="10"/>
      <c r="D168" s="10"/>
      <c r="E168" s="10"/>
      <c r="F168" s="10"/>
      <c r="G168" s="10"/>
      <c r="H168" s="10"/>
      <c r="I168" s="10"/>
      <c r="M168" s="10"/>
      <c r="O168" s="10"/>
    </row>
    <row r="169">
      <c r="B169" s="10"/>
      <c r="C169" s="10"/>
      <c r="D169" s="10"/>
      <c r="E169" s="10"/>
      <c r="F169" s="10"/>
      <c r="G169" s="10"/>
      <c r="H169" s="10"/>
      <c r="I169" s="10"/>
      <c r="M169" s="10"/>
      <c r="O169" s="10"/>
    </row>
    <row r="170">
      <c r="B170" s="10"/>
      <c r="C170" s="10"/>
      <c r="D170" s="10"/>
      <c r="E170" s="10"/>
      <c r="F170" s="10"/>
      <c r="G170" s="10"/>
      <c r="H170" s="10"/>
      <c r="I170" s="10"/>
      <c r="M170" s="10"/>
      <c r="O170" s="10"/>
    </row>
    <row r="171">
      <c r="B171" s="10"/>
      <c r="C171" s="10"/>
      <c r="D171" s="10"/>
      <c r="E171" s="10"/>
      <c r="F171" s="10"/>
      <c r="G171" s="10"/>
      <c r="H171" s="10"/>
      <c r="I171" s="10"/>
      <c r="M171" s="10"/>
      <c r="O171" s="10"/>
    </row>
    <row r="172">
      <c r="B172" s="10"/>
      <c r="C172" s="10"/>
      <c r="D172" s="10"/>
      <c r="E172" s="10"/>
      <c r="F172" s="10"/>
      <c r="G172" s="10"/>
      <c r="H172" s="10"/>
      <c r="I172" s="10"/>
      <c r="M172" s="10"/>
      <c r="O172" s="10"/>
    </row>
    <row r="173">
      <c r="B173" s="10"/>
      <c r="C173" s="10"/>
      <c r="D173" s="10"/>
      <c r="E173" s="10"/>
      <c r="F173" s="10"/>
      <c r="G173" s="10"/>
      <c r="H173" s="10"/>
      <c r="I173" s="10"/>
      <c r="M173" s="10"/>
      <c r="O173" s="10"/>
    </row>
    <row r="174">
      <c r="B174" s="10"/>
      <c r="C174" s="10"/>
      <c r="D174" s="10"/>
      <c r="E174" s="10"/>
      <c r="F174" s="10"/>
      <c r="G174" s="10"/>
      <c r="H174" s="10"/>
      <c r="I174" s="10"/>
      <c r="M174" s="10"/>
      <c r="O174" s="10"/>
    </row>
    <row r="175">
      <c r="B175" s="10"/>
      <c r="C175" s="10"/>
      <c r="D175" s="10"/>
      <c r="E175" s="10"/>
      <c r="F175" s="10"/>
      <c r="G175" s="10"/>
      <c r="H175" s="10"/>
      <c r="I175" s="10"/>
      <c r="M175" s="10"/>
      <c r="O175" s="10"/>
    </row>
    <row r="176">
      <c r="B176" s="10"/>
      <c r="C176" s="10"/>
      <c r="D176" s="10"/>
      <c r="E176" s="10"/>
      <c r="F176" s="10"/>
      <c r="G176" s="10"/>
      <c r="H176" s="10"/>
      <c r="I176" s="10"/>
      <c r="M176" s="10"/>
      <c r="O176" s="10"/>
    </row>
    <row r="177">
      <c r="B177" s="10"/>
      <c r="C177" s="10"/>
      <c r="D177" s="10"/>
      <c r="E177" s="10"/>
      <c r="F177" s="10"/>
      <c r="G177" s="10"/>
      <c r="H177" s="10"/>
      <c r="I177" s="10"/>
      <c r="M177" s="10"/>
      <c r="O177" s="10"/>
    </row>
    <row r="178">
      <c r="B178" s="10"/>
      <c r="C178" s="10"/>
      <c r="D178" s="10"/>
      <c r="E178" s="10"/>
      <c r="F178" s="10"/>
      <c r="G178" s="10"/>
      <c r="H178" s="10"/>
      <c r="I178" s="10"/>
      <c r="M178" s="10"/>
      <c r="O178" s="10"/>
    </row>
    <row r="179">
      <c r="B179" s="10"/>
      <c r="C179" s="10"/>
      <c r="D179" s="10"/>
      <c r="E179" s="10"/>
      <c r="F179" s="10"/>
      <c r="G179" s="10"/>
      <c r="H179" s="10"/>
      <c r="I179" s="10"/>
      <c r="M179" s="10"/>
      <c r="O179" s="10"/>
    </row>
    <row r="180">
      <c r="B180" s="10"/>
      <c r="C180" s="10"/>
      <c r="D180" s="10"/>
      <c r="E180" s="10"/>
      <c r="F180" s="10"/>
      <c r="G180" s="10"/>
      <c r="H180" s="10"/>
      <c r="I180" s="10"/>
      <c r="M180" s="10"/>
      <c r="O180" s="10"/>
    </row>
    <row r="181">
      <c r="B181" s="10"/>
      <c r="C181" s="10"/>
      <c r="D181" s="10"/>
      <c r="E181" s="10"/>
      <c r="F181" s="10"/>
      <c r="G181" s="10"/>
      <c r="H181" s="10"/>
      <c r="I181" s="10"/>
      <c r="M181" s="10"/>
      <c r="O181" s="10"/>
    </row>
    <row r="182">
      <c r="B182" s="10"/>
      <c r="C182" s="10"/>
      <c r="D182" s="10"/>
      <c r="E182" s="10"/>
      <c r="F182" s="10"/>
      <c r="G182" s="10"/>
      <c r="H182" s="10"/>
      <c r="I182" s="10"/>
      <c r="M182" s="10"/>
      <c r="O182" s="10"/>
    </row>
    <row r="183">
      <c r="B183" s="10"/>
      <c r="C183" s="10"/>
      <c r="D183" s="10"/>
      <c r="E183" s="10"/>
      <c r="F183" s="10"/>
      <c r="G183" s="10"/>
      <c r="H183" s="10"/>
      <c r="I183" s="10"/>
      <c r="M183" s="10"/>
      <c r="O183" s="10"/>
    </row>
    <row r="184">
      <c r="B184" s="10"/>
      <c r="C184" s="10"/>
      <c r="D184" s="10"/>
      <c r="E184" s="10"/>
      <c r="F184" s="10"/>
      <c r="G184" s="10"/>
      <c r="H184" s="10"/>
      <c r="I184" s="10"/>
      <c r="M184" s="10"/>
      <c r="O184" s="10"/>
    </row>
    <row r="185">
      <c r="B185" s="10"/>
      <c r="C185" s="10"/>
      <c r="D185" s="10"/>
      <c r="E185" s="10"/>
      <c r="F185" s="10"/>
      <c r="G185" s="10"/>
      <c r="H185" s="10"/>
      <c r="I185" s="10"/>
      <c r="M185" s="10"/>
      <c r="O185" s="10"/>
    </row>
    <row r="186">
      <c r="B186" s="10"/>
      <c r="C186" s="10"/>
      <c r="D186" s="10"/>
      <c r="E186" s="10"/>
      <c r="F186" s="10"/>
      <c r="G186" s="10"/>
      <c r="H186" s="10"/>
      <c r="I186" s="10"/>
      <c r="M186" s="10"/>
      <c r="O186" s="10"/>
    </row>
    <row r="187">
      <c r="B187" s="10"/>
      <c r="C187" s="10"/>
      <c r="D187" s="10"/>
      <c r="E187" s="10"/>
      <c r="F187" s="10"/>
      <c r="G187" s="10"/>
      <c r="H187" s="10"/>
      <c r="I187" s="10"/>
      <c r="M187" s="10"/>
      <c r="O187" s="10"/>
    </row>
    <row r="188">
      <c r="B188" s="10"/>
      <c r="C188" s="10"/>
      <c r="D188" s="10"/>
      <c r="E188" s="10"/>
      <c r="F188" s="10"/>
      <c r="G188" s="10"/>
      <c r="H188" s="10"/>
      <c r="I188" s="10"/>
      <c r="M188" s="10"/>
      <c r="O188" s="10"/>
    </row>
    <row r="189">
      <c r="B189" s="10"/>
      <c r="C189" s="10"/>
      <c r="D189" s="10"/>
      <c r="E189" s="10"/>
      <c r="F189" s="10"/>
      <c r="G189" s="10"/>
      <c r="H189" s="10"/>
      <c r="I189" s="10"/>
      <c r="M189" s="10"/>
      <c r="O189" s="10"/>
    </row>
    <row r="190">
      <c r="B190" s="10"/>
      <c r="C190" s="10"/>
      <c r="D190" s="10"/>
      <c r="E190" s="10"/>
      <c r="F190" s="10"/>
      <c r="G190" s="10"/>
      <c r="H190" s="10"/>
      <c r="I190" s="10"/>
      <c r="M190" s="10"/>
      <c r="O190" s="10"/>
    </row>
    <row r="191">
      <c r="B191" s="10"/>
      <c r="C191" s="10"/>
      <c r="D191" s="10"/>
      <c r="E191" s="10"/>
      <c r="F191" s="10"/>
      <c r="G191" s="10"/>
      <c r="H191" s="10"/>
      <c r="I191" s="10"/>
      <c r="M191" s="10"/>
      <c r="O191" s="10"/>
    </row>
    <row r="192">
      <c r="B192" s="10"/>
      <c r="C192" s="10"/>
      <c r="D192" s="10"/>
      <c r="E192" s="10"/>
      <c r="F192" s="10"/>
      <c r="G192" s="10"/>
      <c r="H192" s="10"/>
      <c r="I192" s="10"/>
      <c r="M192" s="10"/>
      <c r="O192" s="10"/>
    </row>
    <row r="193">
      <c r="B193" s="10"/>
      <c r="C193" s="10"/>
      <c r="D193" s="10"/>
      <c r="E193" s="10"/>
      <c r="F193" s="10"/>
      <c r="G193" s="10"/>
      <c r="H193" s="10"/>
      <c r="I193" s="10"/>
      <c r="M193" s="10"/>
      <c r="O193" s="10"/>
    </row>
    <row r="194">
      <c r="B194" s="10"/>
      <c r="C194" s="10"/>
      <c r="D194" s="10"/>
      <c r="E194" s="10"/>
      <c r="F194" s="10"/>
      <c r="G194" s="10"/>
      <c r="H194" s="10"/>
      <c r="I194" s="10"/>
      <c r="M194" s="10"/>
      <c r="O194" s="10"/>
    </row>
    <row r="195">
      <c r="B195" s="10"/>
      <c r="C195" s="10"/>
      <c r="D195" s="10"/>
      <c r="E195" s="10"/>
      <c r="F195" s="10"/>
      <c r="G195" s="10"/>
      <c r="H195" s="10"/>
      <c r="I195" s="10"/>
      <c r="M195" s="10"/>
      <c r="O195" s="10"/>
    </row>
    <row r="196">
      <c r="B196" s="10"/>
      <c r="C196" s="10"/>
      <c r="D196" s="10"/>
      <c r="E196" s="10"/>
      <c r="F196" s="10"/>
      <c r="G196" s="10"/>
      <c r="H196" s="10"/>
      <c r="I196" s="10"/>
      <c r="M196" s="10"/>
      <c r="O196" s="10"/>
    </row>
    <row r="197">
      <c r="B197" s="10"/>
      <c r="C197" s="10"/>
      <c r="D197" s="10"/>
      <c r="E197" s="10"/>
      <c r="F197" s="10"/>
      <c r="G197" s="10"/>
      <c r="H197" s="10"/>
      <c r="I197" s="10"/>
      <c r="M197" s="10"/>
      <c r="O197" s="10"/>
    </row>
    <row r="198">
      <c r="B198" s="10"/>
      <c r="C198" s="10"/>
      <c r="D198" s="10"/>
      <c r="E198" s="10"/>
      <c r="F198" s="10"/>
      <c r="G198" s="10"/>
      <c r="H198" s="10"/>
      <c r="I198" s="10"/>
      <c r="M198" s="10"/>
      <c r="O198" s="10"/>
    </row>
    <row r="199">
      <c r="B199" s="10"/>
      <c r="C199" s="10"/>
      <c r="D199" s="10"/>
      <c r="E199" s="10"/>
      <c r="F199" s="10"/>
      <c r="G199" s="10"/>
      <c r="H199" s="10"/>
      <c r="I199" s="10"/>
      <c r="M199" s="10"/>
      <c r="O199" s="10"/>
    </row>
    <row r="200">
      <c r="B200" s="10"/>
      <c r="C200" s="10"/>
      <c r="D200" s="10"/>
      <c r="E200" s="10"/>
      <c r="F200" s="10"/>
      <c r="G200" s="10"/>
      <c r="H200" s="10"/>
      <c r="I200" s="10"/>
      <c r="M200" s="10"/>
      <c r="O200" s="10"/>
    </row>
    <row r="201">
      <c r="B201" s="10"/>
      <c r="C201" s="10"/>
      <c r="D201" s="10"/>
      <c r="E201" s="10"/>
      <c r="F201" s="10"/>
      <c r="G201" s="10"/>
      <c r="H201" s="10"/>
      <c r="I201" s="10"/>
      <c r="M201" s="10"/>
      <c r="O201" s="10"/>
    </row>
    <row r="202">
      <c r="B202" s="10"/>
      <c r="C202" s="10"/>
      <c r="D202" s="10"/>
      <c r="E202" s="10"/>
      <c r="F202" s="10"/>
      <c r="G202" s="10"/>
      <c r="H202" s="10"/>
      <c r="I202" s="10"/>
      <c r="M202" s="10"/>
      <c r="O202" s="10"/>
    </row>
    <row r="203">
      <c r="B203" s="10"/>
      <c r="C203" s="10"/>
      <c r="D203" s="10"/>
      <c r="E203" s="10"/>
      <c r="F203" s="10"/>
      <c r="G203" s="10"/>
      <c r="H203" s="10"/>
      <c r="I203" s="10"/>
      <c r="M203" s="10"/>
      <c r="O203" s="10"/>
    </row>
    <row r="204">
      <c r="B204" s="10"/>
      <c r="C204" s="10"/>
      <c r="D204" s="10"/>
      <c r="E204" s="10"/>
      <c r="F204" s="10"/>
      <c r="G204" s="10"/>
      <c r="H204" s="10"/>
      <c r="I204" s="10"/>
      <c r="M204" s="10"/>
      <c r="O204" s="10"/>
    </row>
    <row r="205">
      <c r="B205" s="10"/>
      <c r="C205" s="10"/>
      <c r="D205" s="10"/>
      <c r="E205" s="10"/>
      <c r="F205" s="10"/>
      <c r="G205" s="10"/>
      <c r="H205" s="10"/>
      <c r="I205" s="10"/>
      <c r="M205" s="10"/>
      <c r="O205" s="10"/>
    </row>
    <row r="206">
      <c r="B206" s="10"/>
      <c r="C206" s="10"/>
      <c r="D206" s="10"/>
      <c r="E206" s="10"/>
      <c r="F206" s="10"/>
      <c r="G206" s="10"/>
      <c r="H206" s="10"/>
      <c r="I206" s="10"/>
      <c r="M206" s="10"/>
      <c r="O206" s="10"/>
    </row>
    <row r="207">
      <c r="B207" s="10"/>
      <c r="C207" s="10"/>
      <c r="D207" s="10"/>
      <c r="E207" s="10"/>
      <c r="F207" s="10"/>
      <c r="G207" s="10"/>
      <c r="H207" s="10"/>
      <c r="I207" s="10"/>
      <c r="M207" s="10"/>
      <c r="O207" s="10"/>
    </row>
    <row r="208">
      <c r="B208" s="10"/>
      <c r="C208" s="10"/>
      <c r="D208" s="10"/>
      <c r="E208" s="10"/>
      <c r="F208" s="10"/>
      <c r="G208" s="10"/>
      <c r="H208" s="10"/>
      <c r="I208" s="10"/>
      <c r="M208" s="10"/>
      <c r="O208" s="10"/>
    </row>
    <row r="209">
      <c r="B209" s="10"/>
      <c r="C209" s="10"/>
      <c r="D209" s="10"/>
      <c r="E209" s="10"/>
      <c r="F209" s="10"/>
      <c r="G209" s="10"/>
      <c r="H209" s="10"/>
      <c r="I209" s="10"/>
      <c r="M209" s="10"/>
      <c r="O209" s="10"/>
    </row>
    <row r="210">
      <c r="B210" s="10"/>
      <c r="C210" s="10"/>
      <c r="D210" s="10"/>
      <c r="E210" s="10"/>
      <c r="F210" s="10"/>
      <c r="G210" s="10"/>
      <c r="H210" s="10"/>
      <c r="I210" s="10"/>
      <c r="M210" s="10"/>
      <c r="O210" s="10"/>
    </row>
    <row r="211">
      <c r="B211" s="10"/>
      <c r="C211" s="10"/>
      <c r="D211" s="10"/>
      <c r="E211" s="10"/>
      <c r="F211" s="10"/>
      <c r="G211" s="10"/>
      <c r="H211" s="10"/>
      <c r="I211" s="10"/>
      <c r="M211" s="10"/>
      <c r="O211" s="10"/>
    </row>
    <row r="212">
      <c r="B212" s="10"/>
      <c r="C212" s="10"/>
      <c r="D212" s="10"/>
      <c r="E212" s="10"/>
      <c r="F212" s="10"/>
      <c r="G212" s="10"/>
      <c r="H212" s="10"/>
      <c r="I212" s="10"/>
      <c r="M212" s="10"/>
      <c r="O212" s="10"/>
    </row>
    <row r="213">
      <c r="B213" s="10"/>
      <c r="C213" s="10"/>
      <c r="D213" s="10"/>
      <c r="E213" s="10"/>
      <c r="F213" s="10"/>
      <c r="G213" s="10"/>
      <c r="H213" s="10"/>
      <c r="I213" s="10"/>
      <c r="M213" s="10"/>
      <c r="O213" s="10"/>
    </row>
    <row r="214">
      <c r="B214" s="10"/>
      <c r="C214" s="10"/>
      <c r="D214" s="10"/>
      <c r="E214" s="10"/>
      <c r="F214" s="10"/>
      <c r="G214" s="10"/>
      <c r="H214" s="10"/>
      <c r="I214" s="10"/>
      <c r="M214" s="10"/>
      <c r="O214" s="10"/>
    </row>
    <row r="215">
      <c r="B215" s="10"/>
      <c r="C215" s="10"/>
      <c r="D215" s="10"/>
      <c r="E215" s="10"/>
      <c r="F215" s="10"/>
      <c r="G215" s="10"/>
      <c r="H215" s="10"/>
      <c r="I215" s="10"/>
      <c r="M215" s="10"/>
      <c r="O215" s="10"/>
    </row>
    <row r="216">
      <c r="B216" s="10"/>
      <c r="C216" s="10"/>
      <c r="D216" s="10"/>
      <c r="E216" s="10"/>
      <c r="F216" s="10"/>
      <c r="G216" s="10"/>
      <c r="H216" s="10"/>
      <c r="I216" s="10"/>
      <c r="M216" s="10"/>
      <c r="O216" s="10"/>
    </row>
    <row r="217">
      <c r="B217" s="10"/>
      <c r="C217" s="10"/>
      <c r="D217" s="10"/>
      <c r="E217" s="10"/>
      <c r="F217" s="10"/>
      <c r="G217" s="10"/>
      <c r="H217" s="10"/>
      <c r="I217" s="10"/>
      <c r="M217" s="10"/>
      <c r="O217" s="10"/>
    </row>
    <row r="218">
      <c r="B218" s="10"/>
      <c r="C218" s="10"/>
      <c r="D218" s="10"/>
      <c r="E218" s="10"/>
      <c r="F218" s="10"/>
      <c r="G218" s="10"/>
      <c r="H218" s="10"/>
      <c r="I218" s="10"/>
      <c r="M218" s="10"/>
      <c r="O218" s="10"/>
    </row>
    <row r="219">
      <c r="B219" s="10"/>
      <c r="C219" s="10"/>
      <c r="D219" s="10"/>
      <c r="E219" s="10"/>
      <c r="F219" s="10"/>
      <c r="G219" s="10"/>
      <c r="H219" s="10"/>
      <c r="I219" s="10"/>
      <c r="M219" s="10"/>
      <c r="O219" s="10"/>
    </row>
    <row r="220">
      <c r="B220" s="10"/>
      <c r="C220" s="10"/>
      <c r="D220" s="10"/>
      <c r="E220" s="10"/>
      <c r="F220" s="10"/>
      <c r="G220" s="10"/>
      <c r="H220" s="10"/>
      <c r="I220" s="10"/>
      <c r="M220" s="10"/>
      <c r="O220" s="10"/>
    </row>
    <row r="221">
      <c r="B221" s="10"/>
      <c r="C221" s="10"/>
      <c r="D221" s="10"/>
      <c r="E221" s="10"/>
      <c r="F221" s="10"/>
      <c r="G221" s="10"/>
      <c r="H221" s="10"/>
      <c r="I221" s="10"/>
      <c r="M221" s="10"/>
      <c r="O221" s="10"/>
    </row>
    <row r="222">
      <c r="B222" s="10"/>
      <c r="C222" s="10"/>
      <c r="D222" s="10"/>
      <c r="E222" s="10"/>
      <c r="F222" s="10"/>
      <c r="G222" s="10"/>
      <c r="H222" s="10"/>
      <c r="I222" s="10"/>
      <c r="M222" s="10"/>
      <c r="O222" s="10"/>
    </row>
    <row r="223">
      <c r="B223" s="10"/>
      <c r="C223" s="10"/>
      <c r="D223" s="10"/>
      <c r="E223" s="10"/>
      <c r="F223" s="10"/>
      <c r="G223" s="10"/>
      <c r="H223" s="10"/>
      <c r="I223" s="10"/>
      <c r="M223" s="10"/>
      <c r="O223" s="10"/>
    </row>
    <row r="224">
      <c r="B224" s="10"/>
      <c r="C224" s="10"/>
      <c r="D224" s="10"/>
      <c r="E224" s="10"/>
      <c r="F224" s="10"/>
      <c r="G224" s="10"/>
      <c r="H224" s="10"/>
      <c r="I224" s="10"/>
      <c r="M224" s="10"/>
      <c r="O224" s="10"/>
    </row>
    <row r="225">
      <c r="B225" s="10"/>
      <c r="C225" s="10"/>
      <c r="D225" s="10"/>
      <c r="E225" s="10"/>
      <c r="F225" s="10"/>
      <c r="G225" s="10"/>
      <c r="H225" s="10"/>
      <c r="I225" s="10"/>
      <c r="M225" s="10"/>
      <c r="O225" s="10"/>
    </row>
    <row r="226">
      <c r="B226" s="10"/>
      <c r="C226" s="10"/>
      <c r="D226" s="10"/>
      <c r="E226" s="10"/>
      <c r="F226" s="10"/>
      <c r="G226" s="10"/>
      <c r="H226" s="10"/>
      <c r="I226" s="10"/>
      <c r="M226" s="10"/>
      <c r="O226" s="10"/>
    </row>
    <row r="227">
      <c r="B227" s="10"/>
      <c r="C227" s="10"/>
      <c r="D227" s="10"/>
      <c r="E227" s="10"/>
      <c r="F227" s="10"/>
      <c r="G227" s="10"/>
      <c r="H227" s="10"/>
      <c r="I227" s="10"/>
      <c r="M227" s="10"/>
      <c r="O227" s="10"/>
    </row>
    <row r="228">
      <c r="B228" s="10"/>
      <c r="C228" s="10"/>
      <c r="D228" s="10"/>
      <c r="E228" s="10"/>
      <c r="F228" s="10"/>
      <c r="G228" s="10"/>
      <c r="H228" s="10"/>
      <c r="I228" s="10"/>
      <c r="M228" s="10"/>
      <c r="O228" s="10"/>
    </row>
    <row r="229">
      <c r="B229" s="10"/>
      <c r="C229" s="10"/>
      <c r="D229" s="10"/>
      <c r="E229" s="10"/>
      <c r="F229" s="10"/>
      <c r="G229" s="10"/>
      <c r="H229" s="10"/>
      <c r="I229" s="10"/>
      <c r="M229" s="10"/>
      <c r="O229" s="10"/>
    </row>
    <row r="230">
      <c r="B230" s="10"/>
      <c r="C230" s="10"/>
      <c r="D230" s="10"/>
      <c r="E230" s="10"/>
      <c r="F230" s="10"/>
      <c r="G230" s="10"/>
      <c r="H230" s="10"/>
      <c r="I230" s="10"/>
      <c r="M230" s="10"/>
      <c r="O230" s="10"/>
    </row>
    <row r="231">
      <c r="B231" s="10"/>
      <c r="C231" s="10"/>
      <c r="D231" s="10"/>
      <c r="E231" s="10"/>
      <c r="F231" s="10"/>
      <c r="G231" s="10"/>
      <c r="H231" s="10"/>
      <c r="I231" s="10"/>
      <c r="M231" s="10"/>
      <c r="O231" s="10"/>
    </row>
    <row r="232">
      <c r="B232" s="10"/>
      <c r="C232" s="10"/>
      <c r="D232" s="10"/>
      <c r="E232" s="10"/>
      <c r="F232" s="10"/>
      <c r="G232" s="10"/>
      <c r="H232" s="10"/>
      <c r="I232" s="10"/>
      <c r="M232" s="10"/>
      <c r="O232" s="10"/>
    </row>
    <row r="233">
      <c r="B233" s="10"/>
      <c r="C233" s="10"/>
      <c r="D233" s="10"/>
      <c r="E233" s="10"/>
      <c r="F233" s="10"/>
      <c r="G233" s="10"/>
      <c r="H233" s="10"/>
      <c r="I233" s="10"/>
      <c r="M233" s="10"/>
      <c r="O233" s="10"/>
    </row>
    <row r="234">
      <c r="B234" s="10"/>
      <c r="C234" s="10"/>
      <c r="D234" s="10"/>
      <c r="E234" s="10"/>
      <c r="F234" s="10"/>
      <c r="G234" s="10"/>
      <c r="H234" s="10"/>
      <c r="I234" s="10"/>
      <c r="M234" s="10"/>
      <c r="O234" s="10"/>
    </row>
    <row r="235">
      <c r="B235" s="10"/>
      <c r="C235" s="10"/>
      <c r="D235" s="10"/>
      <c r="E235" s="10"/>
      <c r="F235" s="10"/>
      <c r="G235" s="10"/>
      <c r="H235" s="10"/>
      <c r="I235" s="10"/>
      <c r="M235" s="10"/>
      <c r="O235" s="10"/>
    </row>
    <row r="236">
      <c r="B236" s="10"/>
      <c r="C236" s="10"/>
      <c r="D236" s="10"/>
      <c r="E236" s="10"/>
      <c r="F236" s="10"/>
      <c r="G236" s="10"/>
      <c r="H236" s="10"/>
      <c r="I236" s="10"/>
      <c r="M236" s="10"/>
      <c r="O236" s="10"/>
    </row>
    <row r="237">
      <c r="B237" s="10"/>
      <c r="C237" s="10"/>
      <c r="D237" s="10"/>
      <c r="E237" s="10"/>
      <c r="F237" s="10"/>
      <c r="G237" s="10"/>
      <c r="H237" s="10"/>
      <c r="I237" s="10"/>
      <c r="M237" s="10"/>
      <c r="O237" s="10"/>
    </row>
    <row r="238">
      <c r="B238" s="10"/>
      <c r="C238" s="10"/>
      <c r="D238" s="10"/>
      <c r="E238" s="10"/>
      <c r="F238" s="10"/>
      <c r="G238" s="10"/>
      <c r="H238" s="10"/>
      <c r="I238" s="10"/>
      <c r="M238" s="10"/>
      <c r="O238" s="10"/>
    </row>
    <row r="239">
      <c r="B239" s="10"/>
      <c r="C239" s="10"/>
      <c r="D239" s="10"/>
      <c r="E239" s="10"/>
      <c r="F239" s="10"/>
      <c r="G239" s="10"/>
      <c r="H239" s="10"/>
      <c r="I239" s="10"/>
      <c r="M239" s="10"/>
      <c r="O239" s="10"/>
    </row>
    <row r="240">
      <c r="B240" s="10"/>
      <c r="C240" s="10"/>
      <c r="D240" s="10"/>
      <c r="E240" s="10"/>
      <c r="F240" s="10"/>
      <c r="G240" s="10"/>
      <c r="H240" s="10"/>
      <c r="I240" s="10"/>
      <c r="M240" s="10"/>
      <c r="O240" s="10"/>
    </row>
    <row r="241">
      <c r="B241" s="10"/>
      <c r="C241" s="10"/>
      <c r="D241" s="10"/>
      <c r="E241" s="10"/>
      <c r="F241" s="10"/>
      <c r="G241" s="10"/>
      <c r="H241" s="10"/>
      <c r="I241" s="10"/>
      <c r="M241" s="10"/>
      <c r="O241" s="10"/>
    </row>
    <row r="242">
      <c r="B242" s="10"/>
      <c r="C242" s="10"/>
      <c r="D242" s="10"/>
      <c r="E242" s="10"/>
      <c r="F242" s="10"/>
      <c r="G242" s="10"/>
      <c r="H242" s="10"/>
      <c r="I242" s="10"/>
      <c r="M242" s="10"/>
      <c r="O242" s="10"/>
    </row>
    <row r="243">
      <c r="B243" s="10"/>
      <c r="C243" s="10"/>
      <c r="D243" s="10"/>
      <c r="E243" s="10"/>
      <c r="F243" s="10"/>
      <c r="G243" s="10"/>
      <c r="H243" s="10"/>
      <c r="I243" s="10"/>
      <c r="M243" s="10"/>
      <c r="O243" s="10"/>
    </row>
    <row r="244">
      <c r="B244" s="10"/>
      <c r="C244" s="10"/>
      <c r="D244" s="10"/>
      <c r="E244" s="10"/>
      <c r="F244" s="10"/>
      <c r="G244" s="10"/>
      <c r="H244" s="10"/>
      <c r="I244" s="10"/>
      <c r="M244" s="10"/>
      <c r="O244" s="10"/>
    </row>
    <row r="245">
      <c r="B245" s="10"/>
      <c r="C245" s="10"/>
      <c r="D245" s="10"/>
      <c r="E245" s="10"/>
      <c r="F245" s="10"/>
      <c r="G245" s="10"/>
      <c r="H245" s="10"/>
      <c r="I245" s="10"/>
      <c r="M245" s="10"/>
      <c r="O245" s="10"/>
    </row>
    <row r="246">
      <c r="B246" s="10"/>
      <c r="C246" s="10"/>
      <c r="D246" s="10"/>
      <c r="E246" s="10"/>
      <c r="F246" s="10"/>
      <c r="G246" s="10"/>
      <c r="H246" s="10"/>
      <c r="I246" s="10"/>
      <c r="M246" s="10"/>
      <c r="O246" s="10"/>
    </row>
    <row r="247">
      <c r="B247" s="10"/>
      <c r="C247" s="10"/>
      <c r="D247" s="10"/>
      <c r="E247" s="10"/>
      <c r="F247" s="10"/>
      <c r="G247" s="10"/>
      <c r="H247" s="10"/>
      <c r="I247" s="10"/>
      <c r="M247" s="10"/>
      <c r="O247" s="10"/>
    </row>
    <row r="248">
      <c r="B248" s="10"/>
      <c r="C248" s="10"/>
      <c r="D248" s="10"/>
      <c r="E248" s="10"/>
      <c r="F248" s="10"/>
      <c r="G248" s="10"/>
      <c r="H248" s="10"/>
      <c r="I248" s="10"/>
      <c r="M248" s="10"/>
      <c r="O248" s="10"/>
    </row>
    <row r="249">
      <c r="B249" s="10"/>
      <c r="C249" s="10"/>
      <c r="D249" s="10"/>
      <c r="E249" s="10"/>
      <c r="F249" s="10"/>
      <c r="G249" s="10"/>
      <c r="H249" s="10"/>
      <c r="I249" s="10"/>
      <c r="M249" s="10"/>
      <c r="O249" s="10"/>
    </row>
    <row r="250">
      <c r="B250" s="10"/>
      <c r="C250" s="10"/>
      <c r="D250" s="10"/>
      <c r="E250" s="10"/>
      <c r="F250" s="10"/>
      <c r="G250" s="10"/>
      <c r="H250" s="10"/>
      <c r="I250" s="10"/>
      <c r="M250" s="10"/>
      <c r="O250" s="10"/>
    </row>
    <row r="251">
      <c r="B251" s="10"/>
      <c r="C251" s="10"/>
      <c r="D251" s="10"/>
      <c r="E251" s="10"/>
      <c r="F251" s="10"/>
      <c r="G251" s="10"/>
      <c r="H251" s="10"/>
      <c r="I251" s="10"/>
      <c r="M251" s="10"/>
      <c r="O251" s="10"/>
    </row>
    <row r="252">
      <c r="B252" s="10"/>
      <c r="C252" s="10"/>
      <c r="D252" s="10"/>
      <c r="E252" s="10"/>
      <c r="F252" s="10"/>
      <c r="G252" s="10"/>
      <c r="H252" s="10"/>
      <c r="I252" s="10"/>
      <c r="M252" s="10"/>
      <c r="O252" s="10"/>
    </row>
    <row r="253">
      <c r="B253" s="10"/>
      <c r="C253" s="10"/>
      <c r="D253" s="10"/>
      <c r="E253" s="10"/>
      <c r="F253" s="10"/>
      <c r="G253" s="10"/>
      <c r="H253" s="10"/>
      <c r="I253" s="10"/>
      <c r="M253" s="10"/>
      <c r="O253" s="10"/>
    </row>
    <row r="254">
      <c r="B254" s="10"/>
      <c r="C254" s="10"/>
      <c r="D254" s="10"/>
      <c r="E254" s="10"/>
      <c r="F254" s="10"/>
      <c r="G254" s="10"/>
      <c r="H254" s="10"/>
      <c r="I254" s="10"/>
      <c r="M254" s="10"/>
      <c r="O254" s="10"/>
    </row>
    <row r="255">
      <c r="B255" s="10"/>
      <c r="C255" s="10"/>
      <c r="D255" s="10"/>
      <c r="E255" s="10"/>
      <c r="F255" s="10"/>
      <c r="G255" s="10"/>
      <c r="H255" s="10"/>
      <c r="I255" s="10"/>
      <c r="M255" s="10"/>
      <c r="O255" s="10"/>
    </row>
    <row r="256">
      <c r="B256" s="10"/>
      <c r="C256" s="10"/>
      <c r="D256" s="10"/>
      <c r="E256" s="10"/>
      <c r="F256" s="10"/>
      <c r="G256" s="10"/>
      <c r="H256" s="10"/>
      <c r="I256" s="10"/>
      <c r="M256" s="10"/>
      <c r="O256" s="10"/>
    </row>
    <row r="257">
      <c r="B257" s="10"/>
      <c r="C257" s="10"/>
      <c r="D257" s="10"/>
      <c r="E257" s="10"/>
      <c r="F257" s="10"/>
      <c r="G257" s="10"/>
      <c r="H257" s="10"/>
      <c r="I257" s="10"/>
      <c r="M257" s="10"/>
      <c r="O257" s="10"/>
    </row>
    <row r="258">
      <c r="B258" s="10"/>
      <c r="C258" s="10"/>
      <c r="D258" s="10"/>
      <c r="E258" s="10"/>
      <c r="F258" s="10"/>
      <c r="G258" s="10"/>
      <c r="H258" s="10"/>
      <c r="I258" s="10"/>
      <c r="M258" s="10"/>
      <c r="O258" s="10"/>
    </row>
    <row r="259">
      <c r="B259" s="10"/>
      <c r="C259" s="10"/>
      <c r="D259" s="10"/>
      <c r="E259" s="10"/>
      <c r="F259" s="10"/>
      <c r="G259" s="10"/>
      <c r="H259" s="10"/>
      <c r="I259" s="10"/>
      <c r="M259" s="10"/>
      <c r="O259" s="10"/>
    </row>
    <row r="260">
      <c r="B260" s="10"/>
      <c r="C260" s="10"/>
      <c r="D260" s="10"/>
      <c r="E260" s="10"/>
      <c r="F260" s="10"/>
      <c r="G260" s="10"/>
      <c r="H260" s="10"/>
      <c r="I260" s="10"/>
      <c r="M260" s="10"/>
      <c r="O260" s="10"/>
    </row>
    <row r="261">
      <c r="B261" s="10"/>
      <c r="C261" s="10"/>
      <c r="D261" s="10"/>
      <c r="E261" s="10"/>
      <c r="F261" s="10"/>
      <c r="G261" s="10"/>
      <c r="H261" s="10"/>
      <c r="I261" s="10"/>
      <c r="M261" s="10"/>
      <c r="O261" s="10"/>
    </row>
    <row r="262">
      <c r="B262" s="10"/>
      <c r="C262" s="10"/>
      <c r="D262" s="10"/>
      <c r="E262" s="10"/>
      <c r="F262" s="10"/>
      <c r="G262" s="10"/>
      <c r="H262" s="10"/>
      <c r="I262" s="10"/>
      <c r="M262" s="10"/>
      <c r="O262" s="10"/>
    </row>
    <row r="263">
      <c r="B263" s="10"/>
      <c r="C263" s="10"/>
      <c r="D263" s="10"/>
      <c r="E263" s="10"/>
      <c r="F263" s="10"/>
      <c r="G263" s="10"/>
      <c r="H263" s="10"/>
      <c r="I263" s="10"/>
      <c r="M263" s="10"/>
      <c r="O263" s="10"/>
    </row>
    <row r="264">
      <c r="B264" s="10"/>
      <c r="C264" s="10"/>
      <c r="D264" s="10"/>
      <c r="E264" s="10"/>
      <c r="F264" s="10"/>
      <c r="G264" s="10"/>
      <c r="H264" s="10"/>
      <c r="I264" s="10"/>
      <c r="M264" s="10"/>
      <c r="O264" s="10"/>
    </row>
    <row r="265">
      <c r="B265" s="10"/>
      <c r="C265" s="10"/>
      <c r="D265" s="10"/>
      <c r="E265" s="10"/>
      <c r="F265" s="10"/>
      <c r="G265" s="10"/>
      <c r="H265" s="10"/>
      <c r="I265" s="10"/>
      <c r="M265" s="10"/>
      <c r="O265" s="10"/>
    </row>
    <row r="266">
      <c r="B266" s="10"/>
      <c r="C266" s="10"/>
      <c r="D266" s="10"/>
      <c r="E266" s="10"/>
      <c r="F266" s="10"/>
      <c r="G266" s="10"/>
      <c r="H266" s="10"/>
      <c r="I266" s="10"/>
      <c r="M266" s="10"/>
      <c r="O266" s="10"/>
    </row>
    <row r="267">
      <c r="B267" s="10"/>
      <c r="C267" s="10"/>
      <c r="D267" s="10"/>
      <c r="E267" s="10"/>
      <c r="F267" s="10"/>
      <c r="G267" s="10"/>
      <c r="H267" s="10"/>
      <c r="I267" s="10"/>
      <c r="M267" s="10"/>
      <c r="O267" s="10"/>
    </row>
    <row r="268">
      <c r="B268" s="10"/>
      <c r="C268" s="10"/>
      <c r="D268" s="10"/>
      <c r="E268" s="10"/>
      <c r="F268" s="10"/>
      <c r="G268" s="10"/>
      <c r="H268" s="10"/>
      <c r="I268" s="10"/>
      <c r="M268" s="10"/>
      <c r="O268" s="10"/>
    </row>
    <row r="269">
      <c r="B269" s="10"/>
      <c r="C269" s="10"/>
      <c r="D269" s="10"/>
      <c r="E269" s="10"/>
      <c r="F269" s="10"/>
      <c r="G269" s="10"/>
      <c r="H269" s="10"/>
      <c r="I269" s="10"/>
      <c r="M269" s="10"/>
      <c r="O269" s="10"/>
    </row>
    <row r="270">
      <c r="B270" s="10"/>
      <c r="C270" s="10"/>
      <c r="D270" s="10"/>
      <c r="E270" s="10"/>
      <c r="F270" s="10"/>
      <c r="G270" s="10"/>
      <c r="H270" s="10"/>
      <c r="I270" s="10"/>
      <c r="M270" s="10"/>
      <c r="O270" s="10"/>
    </row>
    <row r="271">
      <c r="B271" s="10"/>
      <c r="C271" s="10"/>
      <c r="D271" s="10"/>
      <c r="E271" s="10"/>
      <c r="F271" s="10"/>
      <c r="G271" s="10"/>
      <c r="H271" s="10"/>
      <c r="I271" s="10"/>
      <c r="M271" s="10"/>
      <c r="O271" s="10"/>
    </row>
    <row r="272">
      <c r="B272" s="10"/>
      <c r="C272" s="10"/>
      <c r="D272" s="10"/>
      <c r="E272" s="10"/>
      <c r="F272" s="10"/>
      <c r="G272" s="10"/>
      <c r="H272" s="10"/>
      <c r="I272" s="10"/>
      <c r="M272" s="10"/>
      <c r="O272" s="10"/>
    </row>
    <row r="273">
      <c r="B273" s="10"/>
      <c r="C273" s="10"/>
      <c r="D273" s="10"/>
      <c r="E273" s="10"/>
      <c r="F273" s="10"/>
      <c r="G273" s="10"/>
      <c r="H273" s="10"/>
      <c r="I273" s="10"/>
      <c r="M273" s="10"/>
      <c r="O273" s="10"/>
    </row>
    <row r="274">
      <c r="B274" s="10"/>
      <c r="C274" s="10"/>
      <c r="D274" s="10"/>
      <c r="E274" s="10"/>
      <c r="F274" s="10"/>
      <c r="G274" s="10"/>
      <c r="H274" s="10"/>
      <c r="I274" s="10"/>
      <c r="M274" s="10"/>
      <c r="O274" s="10"/>
    </row>
    <row r="275">
      <c r="B275" s="10"/>
      <c r="C275" s="10"/>
      <c r="D275" s="10"/>
      <c r="E275" s="10"/>
      <c r="F275" s="10"/>
      <c r="G275" s="10"/>
      <c r="H275" s="10"/>
      <c r="I275" s="10"/>
      <c r="M275" s="10"/>
      <c r="O275" s="10"/>
    </row>
    <row r="276">
      <c r="B276" s="10"/>
      <c r="C276" s="10"/>
      <c r="D276" s="10"/>
      <c r="E276" s="10"/>
      <c r="F276" s="10"/>
      <c r="G276" s="10"/>
      <c r="H276" s="10"/>
      <c r="I276" s="10"/>
      <c r="M276" s="10"/>
      <c r="O276" s="10"/>
    </row>
    <row r="277">
      <c r="B277" s="10"/>
      <c r="C277" s="10"/>
      <c r="D277" s="10"/>
      <c r="E277" s="10"/>
      <c r="F277" s="10"/>
      <c r="G277" s="10"/>
      <c r="H277" s="10"/>
      <c r="I277" s="10"/>
      <c r="M277" s="10"/>
      <c r="O277" s="10"/>
    </row>
    <row r="278">
      <c r="B278" s="10"/>
      <c r="C278" s="10"/>
      <c r="D278" s="10"/>
      <c r="E278" s="10"/>
      <c r="F278" s="10"/>
      <c r="G278" s="10"/>
      <c r="H278" s="10"/>
      <c r="I278" s="10"/>
      <c r="M278" s="10"/>
      <c r="O278" s="10"/>
    </row>
    <row r="279">
      <c r="B279" s="10"/>
      <c r="C279" s="10"/>
      <c r="D279" s="10"/>
      <c r="E279" s="10"/>
      <c r="F279" s="10"/>
      <c r="G279" s="10"/>
      <c r="H279" s="10"/>
      <c r="I279" s="10"/>
      <c r="M279" s="10"/>
      <c r="O279" s="10"/>
    </row>
    <row r="280">
      <c r="B280" s="10"/>
      <c r="C280" s="10"/>
      <c r="D280" s="10"/>
      <c r="E280" s="10"/>
      <c r="F280" s="10"/>
      <c r="G280" s="10"/>
      <c r="H280" s="10"/>
      <c r="I280" s="10"/>
      <c r="M280" s="10"/>
      <c r="O280" s="10"/>
    </row>
    <row r="281">
      <c r="B281" s="10"/>
      <c r="C281" s="10"/>
      <c r="D281" s="10"/>
      <c r="E281" s="10"/>
      <c r="F281" s="10"/>
      <c r="G281" s="10"/>
      <c r="H281" s="10"/>
      <c r="I281" s="10"/>
      <c r="M281" s="10"/>
      <c r="O281" s="10"/>
    </row>
    <row r="282">
      <c r="B282" s="10"/>
      <c r="C282" s="10"/>
      <c r="D282" s="10"/>
      <c r="E282" s="10"/>
      <c r="F282" s="10"/>
      <c r="G282" s="10"/>
      <c r="H282" s="10"/>
      <c r="I282" s="10"/>
      <c r="M282" s="10"/>
      <c r="O282" s="10"/>
    </row>
    <row r="283">
      <c r="B283" s="10"/>
      <c r="C283" s="10"/>
      <c r="D283" s="10"/>
      <c r="E283" s="10"/>
      <c r="F283" s="10"/>
      <c r="G283" s="10"/>
      <c r="H283" s="10"/>
      <c r="I283" s="10"/>
      <c r="M283" s="10"/>
      <c r="O283" s="10"/>
    </row>
    <row r="284">
      <c r="B284" s="10"/>
      <c r="C284" s="10"/>
      <c r="D284" s="10"/>
      <c r="E284" s="10"/>
      <c r="F284" s="10"/>
      <c r="G284" s="10"/>
      <c r="H284" s="10"/>
      <c r="I284" s="10"/>
      <c r="M284" s="10"/>
      <c r="O284" s="10"/>
    </row>
    <row r="285">
      <c r="B285" s="10"/>
      <c r="C285" s="10"/>
      <c r="D285" s="10"/>
      <c r="E285" s="10"/>
      <c r="F285" s="10"/>
      <c r="G285" s="10"/>
      <c r="H285" s="10"/>
      <c r="I285" s="10"/>
      <c r="M285" s="10"/>
      <c r="O285" s="10"/>
    </row>
    <row r="286">
      <c r="B286" s="10"/>
      <c r="C286" s="10"/>
      <c r="D286" s="10"/>
      <c r="E286" s="10"/>
      <c r="F286" s="10"/>
      <c r="G286" s="10"/>
      <c r="H286" s="10"/>
      <c r="I286" s="10"/>
      <c r="M286" s="10"/>
      <c r="O286" s="10"/>
    </row>
    <row r="287">
      <c r="B287" s="10"/>
      <c r="C287" s="10"/>
      <c r="D287" s="10"/>
      <c r="E287" s="10"/>
      <c r="F287" s="10"/>
      <c r="G287" s="10"/>
      <c r="H287" s="10"/>
      <c r="I287" s="10"/>
      <c r="M287" s="10"/>
      <c r="O287" s="10"/>
    </row>
    <row r="288">
      <c r="B288" s="10"/>
      <c r="C288" s="10"/>
      <c r="D288" s="10"/>
      <c r="E288" s="10"/>
      <c r="F288" s="10"/>
      <c r="G288" s="10"/>
      <c r="H288" s="10"/>
      <c r="I288" s="10"/>
      <c r="M288" s="10"/>
      <c r="O288" s="10"/>
    </row>
    <row r="289">
      <c r="B289" s="10"/>
      <c r="C289" s="10"/>
      <c r="D289" s="10"/>
      <c r="E289" s="10"/>
      <c r="F289" s="10"/>
      <c r="G289" s="10"/>
      <c r="H289" s="10"/>
      <c r="I289" s="10"/>
      <c r="M289" s="10"/>
      <c r="O289" s="10"/>
    </row>
    <row r="290">
      <c r="B290" s="10"/>
      <c r="C290" s="10"/>
      <c r="D290" s="10"/>
      <c r="E290" s="10"/>
      <c r="F290" s="10"/>
      <c r="G290" s="10"/>
      <c r="H290" s="10"/>
      <c r="I290" s="10"/>
      <c r="M290" s="10"/>
      <c r="O290" s="10"/>
    </row>
    <row r="291">
      <c r="B291" s="10"/>
      <c r="C291" s="10"/>
      <c r="D291" s="10"/>
      <c r="E291" s="10"/>
      <c r="F291" s="10"/>
      <c r="G291" s="10"/>
      <c r="H291" s="10"/>
      <c r="I291" s="10"/>
      <c r="M291" s="10"/>
      <c r="O291" s="10"/>
    </row>
    <row r="292">
      <c r="B292" s="10"/>
      <c r="C292" s="10"/>
      <c r="D292" s="10"/>
      <c r="E292" s="10"/>
      <c r="F292" s="10"/>
      <c r="G292" s="10"/>
      <c r="H292" s="10"/>
      <c r="I292" s="10"/>
      <c r="M292" s="10"/>
      <c r="O292" s="10"/>
    </row>
    <row r="293">
      <c r="B293" s="10"/>
      <c r="C293" s="10"/>
      <c r="D293" s="10"/>
      <c r="E293" s="10"/>
      <c r="F293" s="10"/>
      <c r="G293" s="10"/>
      <c r="H293" s="10"/>
      <c r="I293" s="10"/>
      <c r="M293" s="10"/>
      <c r="O293" s="10"/>
    </row>
    <row r="294">
      <c r="B294" s="10"/>
      <c r="C294" s="10"/>
      <c r="D294" s="10"/>
      <c r="E294" s="10"/>
      <c r="F294" s="10"/>
      <c r="G294" s="10"/>
      <c r="H294" s="10"/>
      <c r="I294" s="10"/>
      <c r="M294" s="10"/>
      <c r="O294" s="10"/>
    </row>
    <row r="295">
      <c r="B295" s="10"/>
      <c r="C295" s="10"/>
      <c r="D295" s="10"/>
      <c r="E295" s="10"/>
      <c r="F295" s="10"/>
      <c r="G295" s="10"/>
      <c r="H295" s="10"/>
      <c r="I295" s="10"/>
      <c r="M295" s="10"/>
      <c r="O295" s="10"/>
    </row>
    <row r="296">
      <c r="B296" s="10"/>
      <c r="C296" s="10"/>
      <c r="D296" s="10"/>
      <c r="E296" s="10"/>
      <c r="F296" s="10"/>
      <c r="G296" s="10"/>
      <c r="H296" s="10"/>
      <c r="I296" s="10"/>
      <c r="M296" s="10"/>
      <c r="O296" s="10"/>
    </row>
    <row r="297">
      <c r="B297" s="10"/>
      <c r="C297" s="10"/>
      <c r="D297" s="10"/>
      <c r="E297" s="10"/>
      <c r="F297" s="10"/>
      <c r="G297" s="10"/>
      <c r="H297" s="10"/>
      <c r="I297" s="10"/>
      <c r="M297" s="10"/>
      <c r="O297" s="10"/>
    </row>
    <row r="298">
      <c r="B298" s="10"/>
      <c r="C298" s="10"/>
      <c r="D298" s="10"/>
      <c r="E298" s="10"/>
      <c r="F298" s="10"/>
      <c r="G298" s="10"/>
      <c r="H298" s="10"/>
      <c r="I298" s="10"/>
      <c r="M298" s="10"/>
      <c r="O298" s="10"/>
    </row>
    <row r="299">
      <c r="B299" s="10"/>
      <c r="C299" s="10"/>
      <c r="D299" s="10"/>
      <c r="E299" s="10"/>
      <c r="F299" s="10"/>
      <c r="G299" s="10"/>
      <c r="H299" s="10"/>
      <c r="I299" s="10"/>
      <c r="M299" s="10"/>
      <c r="O299" s="10"/>
    </row>
    <row r="300">
      <c r="B300" s="10"/>
      <c r="C300" s="10"/>
      <c r="D300" s="10"/>
      <c r="E300" s="10"/>
      <c r="F300" s="10"/>
      <c r="G300" s="10"/>
      <c r="H300" s="10"/>
      <c r="I300" s="10"/>
      <c r="M300" s="10"/>
      <c r="O300" s="10"/>
    </row>
    <row r="301">
      <c r="B301" s="10"/>
      <c r="C301" s="10"/>
      <c r="D301" s="10"/>
      <c r="E301" s="10"/>
      <c r="F301" s="10"/>
      <c r="G301" s="10"/>
      <c r="H301" s="10"/>
      <c r="I301" s="10"/>
      <c r="M301" s="10"/>
      <c r="O301" s="10"/>
    </row>
    <row r="302">
      <c r="B302" s="10"/>
      <c r="C302" s="10"/>
      <c r="D302" s="10"/>
      <c r="E302" s="10"/>
      <c r="F302" s="10"/>
      <c r="G302" s="10"/>
      <c r="H302" s="10"/>
      <c r="I302" s="10"/>
      <c r="M302" s="10"/>
      <c r="O302" s="10"/>
    </row>
    <row r="303">
      <c r="B303" s="10"/>
      <c r="C303" s="10"/>
      <c r="D303" s="10"/>
      <c r="E303" s="10"/>
      <c r="F303" s="10"/>
      <c r="G303" s="10"/>
      <c r="H303" s="10"/>
      <c r="I303" s="10"/>
      <c r="M303" s="10"/>
      <c r="O303" s="10"/>
    </row>
    <row r="304">
      <c r="B304" s="10"/>
      <c r="C304" s="10"/>
      <c r="D304" s="10"/>
      <c r="E304" s="10"/>
      <c r="F304" s="10"/>
      <c r="G304" s="10"/>
      <c r="H304" s="10"/>
      <c r="I304" s="10"/>
      <c r="M304" s="10"/>
      <c r="O304" s="10"/>
    </row>
    <row r="305">
      <c r="B305" s="10"/>
      <c r="C305" s="10"/>
      <c r="D305" s="10"/>
      <c r="E305" s="10"/>
      <c r="F305" s="10"/>
      <c r="G305" s="10"/>
      <c r="H305" s="10"/>
      <c r="I305" s="10"/>
      <c r="M305" s="10"/>
      <c r="O305" s="10"/>
    </row>
    <row r="306">
      <c r="B306" s="10"/>
      <c r="C306" s="10"/>
      <c r="D306" s="10"/>
      <c r="E306" s="10"/>
      <c r="F306" s="10"/>
      <c r="G306" s="10"/>
      <c r="H306" s="10"/>
      <c r="I306" s="10"/>
      <c r="M306" s="10"/>
      <c r="O306" s="10"/>
    </row>
    <row r="307">
      <c r="B307" s="10"/>
      <c r="C307" s="10"/>
      <c r="D307" s="10"/>
      <c r="E307" s="10"/>
      <c r="F307" s="10"/>
      <c r="G307" s="10"/>
      <c r="H307" s="10"/>
      <c r="I307" s="10"/>
      <c r="M307" s="10"/>
      <c r="O307" s="10"/>
    </row>
    <row r="308">
      <c r="B308" s="10"/>
      <c r="C308" s="10"/>
      <c r="D308" s="10"/>
      <c r="E308" s="10"/>
      <c r="F308" s="10"/>
      <c r="G308" s="10"/>
      <c r="H308" s="10"/>
      <c r="I308" s="10"/>
      <c r="M308" s="10"/>
      <c r="O308" s="10"/>
    </row>
    <row r="309">
      <c r="B309" s="10"/>
      <c r="C309" s="10"/>
      <c r="D309" s="10"/>
      <c r="E309" s="10"/>
      <c r="F309" s="10"/>
      <c r="G309" s="10"/>
      <c r="H309" s="10"/>
      <c r="I309" s="10"/>
      <c r="M309" s="10"/>
      <c r="O309" s="10"/>
    </row>
    <row r="310">
      <c r="B310" s="10"/>
      <c r="C310" s="10"/>
      <c r="D310" s="10"/>
      <c r="E310" s="10"/>
      <c r="F310" s="10"/>
      <c r="G310" s="10"/>
      <c r="H310" s="10"/>
      <c r="I310" s="10"/>
      <c r="M310" s="10"/>
      <c r="O310" s="10"/>
    </row>
    <row r="311">
      <c r="B311" s="10"/>
      <c r="C311" s="10"/>
      <c r="D311" s="10"/>
      <c r="E311" s="10"/>
      <c r="F311" s="10"/>
      <c r="G311" s="10"/>
      <c r="H311" s="10"/>
      <c r="I311" s="10"/>
      <c r="M311" s="10"/>
      <c r="O311" s="10"/>
    </row>
    <row r="312">
      <c r="B312" s="10"/>
      <c r="C312" s="10"/>
      <c r="D312" s="10"/>
      <c r="E312" s="10"/>
      <c r="F312" s="10"/>
      <c r="G312" s="10"/>
      <c r="H312" s="10"/>
      <c r="I312" s="10"/>
      <c r="M312" s="10"/>
      <c r="O312" s="10"/>
    </row>
    <row r="313">
      <c r="B313" s="10"/>
      <c r="C313" s="10"/>
      <c r="D313" s="10"/>
      <c r="E313" s="10"/>
      <c r="F313" s="10"/>
      <c r="G313" s="10"/>
      <c r="H313" s="10"/>
      <c r="I313" s="10"/>
      <c r="M313" s="10"/>
      <c r="O313" s="10"/>
    </row>
    <row r="314">
      <c r="B314" s="10"/>
      <c r="C314" s="10"/>
      <c r="D314" s="10"/>
      <c r="E314" s="10"/>
      <c r="F314" s="10"/>
      <c r="G314" s="10"/>
      <c r="H314" s="10"/>
      <c r="I314" s="10"/>
      <c r="M314" s="10"/>
      <c r="O314" s="10"/>
    </row>
    <row r="315">
      <c r="B315" s="10"/>
      <c r="C315" s="10"/>
      <c r="D315" s="10"/>
      <c r="E315" s="10"/>
      <c r="F315" s="10"/>
      <c r="G315" s="10"/>
      <c r="H315" s="10"/>
      <c r="I315" s="10"/>
      <c r="M315" s="10"/>
      <c r="O315" s="10"/>
    </row>
    <row r="316">
      <c r="B316" s="10"/>
      <c r="C316" s="10"/>
      <c r="D316" s="10"/>
      <c r="E316" s="10"/>
      <c r="F316" s="10"/>
      <c r="G316" s="10"/>
      <c r="H316" s="10"/>
      <c r="I316" s="10"/>
      <c r="M316" s="10"/>
      <c r="O316" s="10"/>
    </row>
    <row r="317">
      <c r="B317" s="10"/>
      <c r="C317" s="10"/>
      <c r="D317" s="10"/>
      <c r="E317" s="10"/>
      <c r="F317" s="10"/>
      <c r="G317" s="10"/>
      <c r="H317" s="10"/>
      <c r="I317" s="10"/>
      <c r="M317" s="10"/>
      <c r="O317" s="10"/>
    </row>
    <row r="318">
      <c r="B318" s="10"/>
      <c r="C318" s="10"/>
      <c r="D318" s="10"/>
      <c r="E318" s="10"/>
      <c r="F318" s="10"/>
      <c r="G318" s="10"/>
      <c r="H318" s="10"/>
      <c r="I318" s="10"/>
      <c r="M318" s="10"/>
      <c r="O318" s="10"/>
    </row>
    <row r="319">
      <c r="B319" s="10"/>
      <c r="C319" s="10"/>
      <c r="D319" s="10"/>
      <c r="E319" s="10"/>
      <c r="F319" s="10"/>
      <c r="G319" s="10"/>
      <c r="H319" s="10"/>
      <c r="I319" s="10"/>
      <c r="M319" s="10"/>
      <c r="O319" s="10"/>
    </row>
    <row r="320">
      <c r="B320" s="10"/>
      <c r="C320" s="10"/>
      <c r="D320" s="10"/>
      <c r="E320" s="10"/>
      <c r="F320" s="10"/>
      <c r="G320" s="10"/>
      <c r="H320" s="10"/>
      <c r="I320" s="10"/>
      <c r="M320" s="10"/>
      <c r="O320" s="10"/>
    </row>
    <row r="321">
      <c r="B321" s="10"/>
      <c r="C321" s="10"/>
      <c r="D321" s="10"/>
      <c r="E321" s="10"/>
      <c r="F321" s="10"/>
      <c r="G321" s="10"/>
      <c r="H321" s="10"/>
      <c r="I321" s="10"/>
      <c r="M321" s="10"/>
      <c r="O321" s="10"/>
    </row>
    <row r="322">
      <c r="B322" s="10"/>
      <c r="C322" s="10"/>
      <c r="D322" s="10"/>
      <c r="E322" s="10"/>
      <c r="F322" s="10"/>
      <c r="G322" s="10"/>
      <c r="H322" s="10"/>
      <c r="I322" s="10"/>
      <c r="M322" s="10"/>
      <c r="O322" s="10"/>
    </row>
    <row r="323">
      <c r="B323" s="10"/>
      <c r="C323" s="10"/>
      <c r="D323" s="10"/>
      <c r="E323" s="10"/>
      <c r="F323" s="10"/>
      <c r="G323" s="10"/>
      <c r="H323" s="10"/>
      <c r="I323" s="10"/>
      <c r="M323" s="10"/>
      <c r="O323" s="10"/>
    </row>
    <row r="324">
      <c r="B324" s="10"/>
      <c r="C324" s="10"/>
      <c r="D324" s="10"/>
      <c r="E324" s="10"/>
      <c r="F324" s="10"/>
      <c r="G324" s="10"/>
      <c r="H324" s="10"/>
      <c r="I324" s="10"/>
      <c r="M324" s="10"/>
      <c r="O324" s="10"/>
    </row>
    <row r="325">
      <c r="B325" s="10"/>
      <c r="C325" s="10"/>
      <c r="D325" s="10"/>
      <c r="E325" s="10"/>
      <c r="F325" s="10"/>
      <c r="G325" s="10"/>
      <c r="H325" s="10"/>
      <c r="I325" s="10"/>
      <c r="M325" s="10"/>
      <c r="O325" s="10"/>
    </row>
    <row r="326">
      <c r="B326" s="10"/>
      <c r="C326" s="10"/>
      <c r="D326" s="10"/>
      <c r="E326" s="10"/>
      <c r="F326" s="10"/>
      <c r="G326" s="10"/>
      <c r="H326" s="10"/>
      <c r="I326" s="10"/>
      <c r="M326" s="10"/>
      <c r="O326" s="10"/>
    </row>
    <row r="327">
      <c r="B327" s="10"/>
      <c r="C327" s="10"/>
      <c r="D327" s="10"/>
      <c r="E327" s="10"/>
      <c r="F327" s="10"/>
      <c r="G327" s="10"/>
      <c r="H327" s="10"/>
      <c r="I327" s="10"/>
      <c r="M327" s="10"/>
      <c r="O327" s="10"/>
    </row>
    <row r="328">
      <c r="B328" s="10"/>
      <c r="C328" s="10"/>
      <c r="D328" s="10"/>
      <c r="E328" s="10"/>
      <c r="F328" s="10"/>
      <c r="G328" s="10"/>
      <c r="H328" s="10"/>
      <c r="I328" s="10"/>
      <c r="M328" s="10"/>
      <c r="O328" s="10"/>
    </row>
    <row r="329">
      <c r="B329" s="10"/>
      <c r="C329" s="10"/>
      <c r="D329" s="10"/>
      <c r="E329" s="10"/>
      <c r="F329" s="10"/>
      <c r="G329" s="10"/>
      <c r="H329" s="10"/>
      <c r="I329" s="10"/>
      <c r="M329" s="10"/>
      <c r="O329" s="10"/>
    </row>
    <row r="330">
      <c r="B330" s="10"/>
      <c r="C330" s="10"/>
      <c r="D330" s="10"/>
      <c r="E330" s="10"/>
      <c r="F330" s="10"/>
      <c r="G330" s="10"/>
      <c r="H330" s="10"/>
      <c r="I330" s="10"/>
      <c r="M330" s="10"/>
      <c r="O330" s="10"/>
    </row>
    <row r="331">
      <c r="B331" s="10"/>
      <c r="C331" s="10"/>
      <c r="D331" s="10"/>
      <c r="E331" s="10"/>
      <c r="F331" s="10"/>
      <c r="G331" s="10"/>
      <c r="H331" s="10"/>
      <c r="I331" s="10"/>
      <c r="M331" s="10"/>
      <c r="O331" s="10"/>
    </row>
    <row r="332">
      <c r="B332" s="10"/>
      <c r="C332" s="10"/>
      <c r="D332" s="10"/>
      <c r="E332" s="10"/>
      <c r="F332" s="10"/>
      <c r="G332" s="10"/>
      <c r="H332" s="10"/>
      <c r="I332" s="10"/>
      <c r="M332" s="10"/>
      <c r="O332" s="10"/>
    </row>
    <row r="333">
      <c r="B333" s="10"/>
      <c r="C333" s="10"/>
      <c r="D333" s="10"/>
      <c r="E333" s="10"/>
      <c r="F333" s="10"/>
      <c r="G333" s="10"/>
      <c r="H333" s="10"/>
      <c r="I333" s="10"/>
      <c r="M333" s="10"/>
      <c r="O333" s="10"/>
    </row>
    <row r="334">
      <c r="B334" s="10"/>
      <c r="C334" s="10"/>
      <c r="D334" s="10"/>
      <c r="E334" s="10"/>
      <c r="F334" s="10"/>
      <c r="G334" s="10"/>
      <c r="H334" s="10"/>
      <c r="I334" s="10"/>
      <c r="M334" s="10"/>
      <c r="O334" s="10"/>
    </row>
    <row r="335">
      <c r="B335" s="10"/>
      <c r="C335" s="10"/>
      <c r="D335" s="10"/>
      <c r="E335" s="10"/>
      <c r="F335" s="10"/>
      <c r="G335" s="10"/>
      <c r="H335" s="10"/>
      <c r="I335" s="10"/>
      <c r="M335" s="10"/>
      <c r="O335" s="10"/>
    </row>
    <row r="336">
      <c r="B336" s="10"/>
      <c r="C336" s="10"/>
      <c r="D336" s="10"/>
      <c r="E336" s="10"/>
      <c r="F336" s="10"/>
      <c r="G336" s="10"/>
      <c r="H336" s="10"/>
      <c r="I336" s="10"/>
      <c r="M336" s="10"/>
      <c r="O336" s="10"/>
    </row>
    <row r="337">
      <c r="B337" s="10"/>
      <c r="C337" s="10"/>
      <c r="D337" s="10"/>
      <c r="E337" s="10"/>
      <c r="F337" s="10"/>
      <c r="G337" s="10"/>
      <c r="H337" s="10"/>
      <c r="I337" s="10"/>
      <c r="M337" s="10"/>
      <c r="O337" s="10"/>
    </row>
    <row r="338">
      <c r="B338" s="10"/>
      <c r="C338" s="10"/>
      <c r="D338" s="10"/>
      <c r="E338" s="10"/>
      <c r="F338" s="10"/>
      <c r="G338" s="10"/>
      <c r="H338" s="10"/>
      <c r="I338" s="10"/>
      <c r="M338" s="10"/>
      <c r="O338" s="10"/>
    </row>
    <row r="339">
      <c r="B339" s="10"/>
      <c r="C339" s="10"/>
      <c r="D339" s="10"/>
      <c r="E339" s="10"/>
      <c r="F339" s="10"/>
      <c r="G339" s="10"/>
      <c r="H339" s="10"/>
      <c r="I339" s="10"/>
      <c r="M339" s="10"/>
      <c r="O339" s="10"/>
    </row>
    <row r="340">
      <c r="B340" s="10"/>
      <c r="C340" s="10"/>
      <c r="D340" s="10"/>
      <c r="E340" s="10"/>
      <c r="F340" s="10"/>
      <c r="G340" s="10"/>
      <c r="H340" s="10"/>
      <c r="I340" s="10"/>
      <c r="M340" s="10"/>
      <c r="O340" s="10"/>
    </row>
    <row r="341">
      <c r="B341" s="10"/>
      <c r="C341" s="10"/>
      <c r="D341" s="10"/>
      <c r="E341" s="10"/>
      <c r="F341" s="10"/>
      <c r="G341" s="10"/>
      <c r="H341" s="10"/>
      <c r="I341" s="10"/>
      <c r="M341" s="10"/>
      <c r="O341" s="10"/>
    </row>
    <row r="342">
      <c r="B342" s="10"/>
      <c r="C342" s="10"/>
      <c r="D342" s="10"/>
      <c r="E342" s="10"/>
      <c r="F342" s="10"/>
      <c r="G342" s="10"/>
      <c r="H342" s="10"/>
      <c r="I342" s="10"/>
      <c r="M342" s="10"/>
      <c r="O342" s="10"/>
    </row>
    <row r="343">
      <c r="B343" s="10"/>
      <c r="C343" s="10"/>
      <c r="D343" s="10"/>
      <c r="E343" s="10"/>
      <c r="F343" s="10"/>
      <c r="G343" s="10"/>
      <c r="H343" s="10"/>
      <c r="I343" s="10"/>
      <c r="M343" s="10"/>
      <c r="O343" s="10"/>
    </row>
    <row r="344">
      <c r="B344" s="10"/>
      <c r="C344" s="10"/>
      <c r="D344" s="10"/>
      <c r="E344" s="10"/>
      <c r="F344" s="10"/>
      <c r="G344" s="10"/>
      <c r="H344" s="10"/>
      <c r="I344" s="10"/>
      <c r="M344" s="10"/>
      <c r="O344" s="10"/>
    </row>
    <row r="345">
      <c r="B345" s="10"/>
      <c r="C345" s="10"/>
      <c r="D345" s="10"/>
      <c r="E345" s="10"/>
      <c r="F345" s="10"/>
      <c r="G345" s="10"/>
      <c r="H345" s="10"/>
      <c r="I345" s="10"/>
      <c r="M345" s="10"/>
      <c r="O345" s="10"/>
    </row>
    <row r="346">
      <c r="B346" s="10"/>
      <c r="C346" s="10"/>
      <c r="D346" s="10"/>
      <c r="E346" s="10"/>
      <c r="F346" s="10"/>
      <c r="G346" s="10"/>
      <c r="H346" s="10"/>
      <c r="I346" s="10"/>
      <c r="M346" s="10"/>
      <c r="O346" s="10"/>
    </row>
    <row r="347">
      <c r="B347" s="10"/>
      <c r="C347" s="10"/>
      <c r="D347" s="10"/>
      <c r="E347" s="10"/>
      <c r="F347" s="10"/>
      <c r="G347" s="10"/>
      <c r="H347" s="10"/>
      <c r="I347" s="10"/>
      <c r="M347" s="10"/>
      <c r="O347" s="10"/>
    </row>
    <row r="348">
      <c r="B348" s="10"/>
      <c r="C348" s="10"/>
      <c r="D348" s="10"/>
      <c r="E348" s="10"/>
      <c r="F348" s="10"/>
      <c r="G348" s="10"/>
      <c r="H348" s="10"/>
      <c r="I348" s="10"/>
      <c r="M348" s="10"/>
      <c r="O348" s="10"/>
    </row>
    <row r="349">
      <c r="B349" s="10"/>
      <c r="C349" s="10"/>
      <c r="D349" s="10"/>
      <c r="E349" s="10"/>
      <c r="F349" s="10"/>
      <c r="G349" s="10"/>
      <c r="H349" s="10"/>
      <c r="I349" s="10"/>
      <c r="M349" s="10"/>
      <c r="O349" s="10"/>
    </row>
    <row r="350">
      <c r="B350" s="10"/>
      <c r="C350" s="10"/>
      <c r="D350" s="10"/>
      <c r="E350" s="10"/>
      <c r="F350" s="10"/>
      <c r="G350" s="10"/>
      <c r="H350" s="10"/>
      <c r="I350" s="10"/>
      <c r="M350" s="10"/>
      <c r="O350" s="10"/>
    </row>
    <row r="351">
      <c r="B351" s="10"/>
      <c r="C351" s="10"/>
      <c r="D351" s="10"/>
      <c r="E351" s="10"/>
      <c r="F351" s="10"/>
      <c r="G351" s="10"/>
      <c r="H351" s="10"/>
      <c r="I351" s="10"/>
      <c r="M351" s="10"/>
      <c r="O351" s="10"/>
    </row>
    <row r="352">
      <c r="B352" s="10"/>
      <c r="C352" s="10"/>
      <c r="D352" s="10"/>
      <c r="E352" s="10"/>
      <c r="F352" s="10"/>
      <c r="G352" s="10"/>
      <c r="H352" s="10"/>
      <c r="I352" s="10"/>
      <c r="M352" s="10"/>
      <c r="O352" s="10"/>
    </row>
    <row r="353">
      <c r="B353" s="10"/>
      <c r="C353" s="10"/>
      <c r="D353" s="10"/>
      <c r="E353" s="10"/>
      <c r="F353" s="10"/>
      <c r="G353" s="10"/>
      <c r="H353" s="10"/>
      <c r="I353" s="10"/>
      <c r="M353" s="10"/>
      <c r="O353" s="10"/>
    </row>
    <row r="354">
      <c r="B354" s="10"/>
      <c r="C354" s="10"/>
      <c r="D354" s="10"/>
      <c r="E354" s="10"/>
      <c r="F354" s="10"/>
      <c r="G354" s="10"/>
      <c r="H354" s="10"/>
      <c r="I354" s="10"/>
      <c r="M354" s="10"/>
      <c r="O354" s="10"/>
    </row>
    <row r="355">
      <c r="B355" s="10"/>
      <c r="C355" s="10"/>
      <c r="D355" s="10"/>
      <c r="E355" s="10"/>
      <c r="F355" s="10"/>
      <c r="G355" s="10"/>
      <c r="H355" s="10"/>
      <c r="I355" s="10"/>
      <c r="M355" s="10"/>
      <c r="O355" s="10"/>
    </row>
    <row r="356">
      <c r="B356" s="10"/>
      <c r="C356" s="10"/>
      <c r="D356" s="10"/>
      <c r="E356" s="10"/>
      <c r="F356" s="10"/>
      <c r="G356" s="10"/>
      <c r="H356" s="10"/>
      <c r="I356" s="10"/>
      <c r="M356" s="10"/>
      <c r="O356" s="10"/>
    </row>
    <row r="357">
      <c r="B357" s="10"/>
      <c r="C357" s="10"/>
      <c r="D357" s="10"/>
      <c r="E357" s="10"/>
      <c r="F357" s="10"/>
      <c r="G357" s="10"/>
      <c r="H357" s="10"/>
      <c r="I357" s="10"/>
      <c r="M357" s="10"/>
      <c r="O357" s="10"/>
    </row>
    <row r="358">
      <c r="B358" s="10"/>
      <c r="C358" s="10"/>
      <c r="D358" s="10"/>
      <c r="E358" s="10"/>
      <c r="F358" s="10"/>
      <c r="G358" s="10"/>
      <c r="H358" s="10"/>
      <c r="I358" s="10"/>
      <c r="M358" s="10"/>
      <c r="O358" s="10"/>
    </row>
    <row r="359">
      <c r="B359" s="10"/>
      <c r="C359" s="10"/>
      <c r="D359" s="10"/>
      <c r="E359" s="10"/>
      <c r="F359" s="10"/>
      <c r="G359" s="10"/>
      <c r="H359" s="10"/>
      <c r="I359" s="10"/>
      <c r="M359" s="10"/>
      <c r="O359" s="10"/>
    </row>
    <row r="360">
      <c r="B360" s="10"/>
      <c r="C360" s="10"/>
      <c r="D360" s="10"/>
      <c r="E360" s="10"/>
      <c r="F360" s="10"/>
      <c r="G360" s="10"/>
      <c r="H360" s="10"/>
      <c r="I360" s="10"/>
      <c r="M360" s="10"/>
      <c r="O360" s="10"/>
    </row>
    <row r="361">
      <c r="B361" s="10"/>
      <c r="C361" s="10"/>
      <c r="D361" s="10"/>
      <c r="E361" s="10"/>
      <c r="F361" s="10"/>
      <c r="G361" s="10"/>
      <c r="H361" s="10"/>
      <c r="I361" s="10"/>
      <c r="M361" s="10"/>
      <c r="O361" s="10"/>
    </row>
    <row r="362">
      <c r="B362" s="10"/>
      <c r="C362" s="10"/>
      <c r="D362" s="10"/>
      <c r="E362" s="10"/>
      <c r="F362" s="10"/>
      <c r="G362" s="10"/>
      <c r="H362" s="10"/>
      <c r="I362" s="10"/>
      <c r="M362" s="10"/>
      <c r="O362" s="10"/>
    </row>
    <row r="363">
      <c r="B363" s="10"/>
      <c r="C363" s="10"/>
      <c r="D363" s="10"/>
      <c r="E363" s="10"/>
      <c r="F363" s="10"/>
      <c r="G363" s="10"/>
      <c r="H363" s="10"/>
      <c r="I363" s="10"/>
      <c r="M363" s="10"/>
      <c r="O363" s="10"/>
    </row>
    <row r="364">
      <c r="B364" s="10"/>
      <c r="C364" s="10"/>
      <c r="D364" s="10"/>
      <c r="E364" s="10"/>
      <c r="F364" s="10"/>
      <c r="G364" s="10"/>
      <c r="H364" s="10"/>
      <c r="I364" s="10"/>
      <c r="M364" s="10"/>
      <c r="O364" s="10"/>
    </row>
    <row r="365">
      <c r="B365" s="10"/>
      <c r="C365" s="10"/>
      <c r="D365" s="10"/>
      <c r="E365" s="10"/>
      <c r="F365" s="10"/>
      <c r="G365" s="10"/>
      <c r="H365" s="10"/>
      <c r="I365" s="10"/>
      <c r="M365" s="10"/>
      <c r="O365" s="10"/>
    </row>
    <row r="366">
      <c r="B366" s="10"/>
      <c r="C366" s="10"/>
      <c r="D366" s="10"/>
      <c r="E366" s="10"/>
      <c r="F366" s="10"/>
      <c r="G366" s="10"/>
      <c r="H366" s="10"/>
      <c r="I366" s="10"/>
      <c r="M366" s="10"/>
      <c r="O366" s="10"/>
    </row>
    <row r="367">
      <c r="B367" s="10"/>
      <c r="C367" s="10"/>
      <c r="D367" s="10"/>
      <c r="E367" s="10"/>
      <c r="F367" s="10"/>
      <c r="G367" s="10"/>
      <c r="H367" s="10"/>
      <c r="I367" s="10"/>
      <c r="M367" s="10"/>
      <c r="O367" s="10"/>
    </row>
    <row r="368">
      <c r="B368" s="10"/>
      <c r="C368" s="10"/>
      <c r="D368" s="10"/>
      <c r="E368" s="10"/>
      <c r="F368" s="10"/>
      <c r="G368" s="10"/>
      <c r="H368" s="10"/>
      <c r="I368" s="10"/>
      <c r="M368" s="10"/>
      <c r="O368" s="10"/>
    </row>
    <row r="369">
      <c r="B369" s="10"/>
      <c r="C369" s="10"/>
      <c r="D369" s="10"/>
      <c r="E369" s="10"/>
      <c r="F369" s="10"/>
      <c r="G369" s="10"/>
      <c r="H369" s="10"/>
      <c r="I369" s="10"/>
      <c r="M369" s="10"/>
      <c r="O369" s="10"/>
    </row>
    <row r="370">
      <c r="B370" s="10"/>
      <c r="C370" s="10"/>
      <c r="D370" s="10"/>
      <c r="E370" s="10"/>
      <c r="F370" s="10"/>
      <c r="G370" s="10"/>
      <c r="H370" s="10"/>
      <c r="I370" s="10"/>
      <c r="M370" s="10"/>
      <c r="O370" s="10"/>
    </row>
    <row r="371">
      <c r="B371" s="10"/>
      <c r="C371" s="10"/>
      <c r="D371" s="10"/>
      <c r="E371" s="10"/>
      <c r="F371" s="10"/>
      <c r="G371" s="10"/>
      <c r="H371" s="10"/>
      <c r="I371" s="10"/>
      <c r="M371" s="10"/>
      <c r="O371" s="10"/>
    </row>
    <row r="372">
      <c r="B372" s="10"/>
      <c r="C372" s="10"/>
      <c r="D372" s="10"/>
      <c r="E372" s="10"/>
      <c r="F372" s="10"/>
      <c r="G372" s="10"/>
      <c r="H372" s="10"/>
      <c r="I372" s="10"/>
      <c r="M372" s="10"/>
      <c r="O372" s="10"/>
    </row>
    <row r="373">
      <c r="B373" s="10"/>
      <c r="C373" s="10"/>
      <c r="D373" s="10"/>
      <c r="E373" s="10"/>
      <c r="F373" s="10"/>
      <c r="G373" s="10"/>
      <c r="H373" s="10"/>
      <c r="I373" s="10"/>
      <c r="M373" s="10"/>
      <c r="O373" s="10"/>
    </row>
    <row r="374">
      <c r="B374" s="10"/>
      <c r="C374" s="10"/>
      <c r="D374" s="10"/>
      <c r="E374" s="10"/>
      <c r="F374" s="10"/>
      <c r="G374" s="10"/>
      <c r="H374" s="10"/>
      <c r="I374" s="10"/>
      <c r="M374" s="10"/>
      <c r="O374" s="10"/>
    </row>
    <row r="375">
      <c r="B375" s="10"/>
      <c r="C375" s="10"/>
      <c r="D375" s="10"/>
      <c r="E375" s="10"/>
      <c r="F375" s="10"/>
      <c r="G375" s="10"/>
      <c r="H375" s="10"/>
      <c r="I375" s="10"/>
      <c r="M375" s="10"/>
      <c r="O375" s="10"/>
    </row>
    <row r="376">
      <c r="B376" s="10"/>
      <c r="C376" s="10"/>
      <c r="D376" s="10"/>
      <c r="E376" s="10"/>
      <c r="F376" s="10"/>
      <c r="G376" s="10"/>
      <c r="H376" s="10"/>
      <c r="I376" s="10"/>
      <c r="M376" s="10"/>
      <c r="O376" s="10"/>
    </row>
    <row r="377">
      <c r="B377" s="10"/>
      <c r="C377" s="10"/>
      <c r="D377" s="10"/>
      <c r="E377" s="10"/>
      <c r="F377" s="10"/>
      <c r="G377" s="10"/>
      <c r="H377" s="10"/>
      <c r="I377" s="10"/>
      <c r="M377" s="10"/>
      <c r="O377" s="10"/>
    </row>
    <row r="378">
      <c r="B378" s="10"/>
      <c r="C378" s="10"/>
      <c r="D378" s="10"/>
      <c r="E378" s="10"/>
      <c r="F378" s="10"/>
      <c r="G378" s="10"/>
      <c r="H378" s="10"/>
      <c r="I378" s="10"/>
      <c r="M378" s="10"/>
      <c r="O378" s="10"/>
    </row>
    <row r="379">
      <c r="B379" s="10"/>
      <c r="C379" s="10"/>
      <c r="D379" s="10"/>
      <c r="E379" s="10"/>
      <c r="F379" s="10"/>
      <c r="G379" s="10"/>
      <c r="H379" s="10"/>
      <c r="I379" s="10"/>
      <c r="M379" s="10"/>
      <c r="O379" s="10"/>
    </row>
    <row r="380">
      <c r="B380" s="10"/>
      <c r="C380" s="10"/>
      <c r="D380" s="10"/>
      <c r="E380" s="10"/>
      <c r="F380" s="10"/>
      <c r="G380" s="10"/>
      <c r="H380" s="10"/>
      <c r="I380" s="10"/>
      <c r="M380" s="10"/>
      <c r="O380" s="10"/>
    </row>
    <row r="381">
      <c r="B381" s="10"/>
      <c r="C381" s="10"/>
      <c r="D381" s="10"/>
      <c r="E381" s="10"/>
      <c r="F381" s="10"/>
      <c r="G381" s="10"/>
      <c r="H381" s="10"/>
      <c r="I381" s="10"/>
      <c r="M381" s="10"/>
      <c r="O381" s="10"/>
    </row>
    <row r="382">
      <c r="B382" s="10"/>
      <c r="C382" s="10"/>
      <c r="D382" s="10"/>
      <c r="E382" s="10"/>
      <c r="F382" s="10"/>
      <c r="G382" s="10"/>
      <c r="H382" s="10"/>
      <c r="I382" s="10"/>
      <c r="M382" s="10"/>
      <c r="O382" s="10"/>
    </row>
    <row r="383">
      <c r="B383" s="10"/>
      <c r="C383" s="10"/>
      <c r="D383" s="10"/>
      <c r="E383" s="10"/>
      <c r="F383" s="10"/>
      <c r="G383" s="10"/>
      <c r="H383" s="10"/>
      <c r="I383" s="10"/>
      <c r="M383" s="10"/>
      <c r="O383" s="10"/>
    </row>
    <row r="384">
      <c r="B384" s="10"/>
      <c r="C384" s="10"/>
      <c r="D384" s="10"/>
      <c r="E384" s="10"/>
      <c r="F384" s="10"/>
      <c r="G384" s="10"/>
      <c r="H384" s="10"/>
      <c r="I384" s="10"/>
      <c r="M384" s="10"/>
      <c r="O384" s="10"/>
    </row>
    <row r="385">
      <c r="B385" s="10"/>
      <c r="C385" s="10"/>
      <c r="D385" s="10"/>
      <c r="E385" s="10"/>
      <c r="F385" s="10"/>
      <c r="G385" s="10"/>
      <c r="H385" s="10"/>
      <c r="I385" s="10"/>
      <c r="M385" s="10"/>
      <c r="O385" s="10"/>
    </row>
    <row r="386">
      <c r="B386" s="10"/>
      <c r="C386" s="10"/>
      <c r="D386" s="10"/>
      <c r="E386" s="10"/>
      <c r="F386" s="10"/>
      <c r="G386" s="10"/>
      <c r="H386" s="10"/>
      <c r="I386" s="10"/>
      <c r="M386" s="10"/>
      <c r="O386" s="10"/>
    </row>
    <row r="387">
      <c r="B387" s="10"/>
      <c r="C387" s="10"/>
      <c r="D387" s="10"/>
      <c r="E387" s="10"/>
      <c r="F387" s="10"/>
      <c r="G387" s="10"/>
      <c r="H387" s="10"/>
      <c r="I387" s="10"/>
      <c r="M387" s="10"/>
      <c r="O387" s="10"/>
    </row>
    <row r="388">
      <c r="B388" s="10"/>
      <c r="C388" s="10"/>
      <c r="D388" s="10"/>
      <c r="E388" s="10"/>
      <c r="F388" s="10"/>
      <c r="G388" s="10"/>
      <c r="H388" s="10"/>
      <c r="I388" s="10"/>
      <c r="M388" s="10"/>
      <c r="O388" s="10"/>
    </row>
    <row r="389">
      <c r="B389" s="10"/>
      <c r="C389" s="10"/>
      <c r="D389" s="10"/>
      <c r="E389" s="10"/>
      <c r="F389" s="10"/>
      <c r="G389" s="10"/>
      <c r="H389" s="10"/>
      <c r="I389" s="10"/>
      <c r="M389" s="10"/>
      <c r="O389" s="10"/>
    </row>
    <row r="390">
      <c r="B390" s="10"/>
      <c r="C390" s="10"/>
      <c r="D390" s="10"/>
      <c r="E390" s="10"/>
      <c r="F390" s="10"/>
      <c r="G390" s="10"/>
      <c r="H390" s="10"/>
      <c r="I390" s="10"/>
      <c r="M390" s="10"/>
      <c r="O390" s="10"/>
    </row>
    <row r="391">
      <c r="B391" s="10"/>
      <c r="C391" s="10"/>
      <c r="D391" s="10"/>
      <c r="E391" s="10"/>
      <c r="F391" s="10"/>
      <c r="G391" s="10"/>
      <c r="H391" s="10"/>
      <c r="I391" s="10"/>
      <c r="M391" s="10"/>
      <c r="O391" s="10"/>
    </row>
    <row r="392">
      <c r="B392" s="10"/>
      <c r="C392" s="10"/>
      <c r="D392" s="10"/>
      <c r="E392" s="10"/>
      <c r="F392" s="10"/>
      <c r="G392" s="10"/>
      <c r="H392" s="10"/>
      <c r="I392" s="10"/>
      <c r="M392" s="10"/>
      <c r="O392" s="10"/>
    </row>
    <row r="393">
      <c r="B393" s="10"/>
      <c r="C393" s="10"/>
      <c r="D393" s="10"/>
      <c r="E393" s="10"/>
      <c r="F393" s="10"/>
      <c r="G393" s="10"/>
      <c r="H393" s="10"/>
      <c r="I393" s="10"/>
      <c r="M393" s="10"/>
      <c r="O393" s="10"/>
    </row>
    <row r="394">
      <c r="B394" s="10"/>
      <c r="C394" s="10"/>
      <c r="D394" s="10"/>
      <c r="E394" s="10"/>
      <c r="F394" s="10"/>
      <c r="G394" s="10"/>
      <c r="H394" s="10"/>
      <c r="I394" s="10"/>
      <c r="M394" s="10"/>
      <c r="O394" s="10"/>
    </row>
    <row r="395">
      <c r="B395" s="10"/>
      <c r="C395" s="10"/>
      <c r="D395" s="10"/>
      <c r="E395" s="10"/>
      <c r="F395" s="10"/>
      <c r="G395" s="10"/>
      <c r="H395" s="10"/>
      <c r="I395" s="10"/>
      <c r="M395" s="10"/>
      <c r="O395" s="10"/>
    </row>
    <row r="396">
      <c r="B396" s="10"/>
      <c r="C396" s="10"/>
      <c r="D396" s="10"/>
      <c r="E396" s="10"/>
      <c r="F396" s="10"/>
      <c r="G396" s="10"/>
      <c r="H396" s="10"/>
      <c r="I396" s="10"/>
      <c r="M396" s="10"/>
      <c r="O396" s="10"/>
    </row>
    <row r="397">
      <c r="B397" s="10"/>
      <c r="C397" s="10"/>
      <c r="D397" s="10"/>
      <c r="E397" s="10"/>
      <c r="F397" s="10"/>
      <c r="G397" s="10"/>
      <c r="H397" s="10"/>
      <c r="I397" s="10"/>
      <c r="M397" s="10"/>
      <c r="O397" s="10"/>
    </row>
    <row r="398">
      <c r="B398" s="10"/>
      <c r="C398" s="10"/>
      <c r="D398" s="10"/>
      <c r="E398" s="10"/>
      <c r="F398" s="10"/>
      <c r="G398" s="10"/>
      <c r="H398" s="10"/>
      <c r="I398" s="10"/>
      <c r="M398" s="10"/>
      <c r="O398" s="10"/>
    </row>
    <row r="399">
      <c r="B399" s="10"/>
      <c r="C399" s="10"/>
      <c r="D399" s="10"/>
      <c r="E399" s="10"/>
      <c r="F399" s="10"/>
      <c r="G399" s="10"/>
      <c r="H399" s="10"/>
      <c r="I399" s="10"/>
      <c r="M399" s="10"/>
      <c r="O399" s="10"/>
    </row>
    <row r="400">
      <c r="B400" s="10"/>
      <c r="C400" s="10"/>
      <c r="D400" s="10"/>
      <c r="E400" s="10"/>
      <c r="F400" s="10"/>
      <c r="G400" s="10"/>
      <c r="H400" s="10"/>
      <c r="I400" s="10"/>
      <c r="M400" s="10"/>
      <c r="O400" s="10"/>
    </row>
    <row r="401">
      <c r="B401" s="10"/>
      <c r="C401" s="10"/>
      <c r="D401" s="10"/>
      <c r="E401" s="10"/>
      <c r="F401" s="10"/>
      <c r="G401" s="10"/>
      <c r="H401" s="10"/>
      <c r="I401" s="10"/>
      <c r="M401" s="10"/>
      <c r="O401" s="10"/>
    </row>
    <row r="402">
      <c r="B402" s="10"/>
      <c r="C402" s="10"/>
      <c r="D402" s="10"/>
      <c r="E402" s="10"/>
      <c r="F402" s="10"/>
      <c r="G402" s="10"/>
      <c r="H402" s="10"/>
      <c r="I402" s="10"/>
      <c r="M402" s="10"/>
      <c r="O402" s="10"/>
    </row>
    <row r="403">
      <c r="B403" s="10"/>
      <c r="C403" s="10"/>
      <c r="D403" s="10"/>
      <c r="E403" s="10"/>
      <c r="F403" s="10"/>
      <c r="G403" s="10"/>
      <c r="H403" s="10"/>
      <c r="I403" s="10"/>
      <c r="M403" s="10"/>
      <c r="O403" s="10"/>
    </row>
    <row r="404">
      <c r="B404" s="10"/>
      <c r="C404" s="10"/>
      <c r="D404" s="10"/>
      <c r="E404" s="10"/>
      <c r="F404" s="10"/>
      <c r="G404" s="10"/>
      <c r="H404" s="10"/>
      <c r="I404" s="10"/>
      <c r="M404" s="10"/>
      <c r="O404" s="10"/>
    </row>
    <row r="405">
      <c r="B405" s="10"/>
      <c r="C405" s="10"/>
      <c r="D405" s="10"/>
      <c r="E405" s="10"/>
      <c r="F405" s="10"/>
      <c r="G405" s="10"/>
      <c r="H405" s="10"/>
      <c r="I405" s="10"/>
      <c r="M405" s="10"/>
      <c r="O405" s="10"/>
    </row>
    <row r="406">
      <c r="B406" s="10"/>
      <c r="C406" s="10"/>
      <c r="D406" s="10"/>
      <c r="E406" s="10"/>
      <c r="F406" s="10"/>
      <c r="G406" s="10"/>
      <c r="H406" s="10"/>
      <c r="I406" s="10"/>
      <c r="M406" s="10"/>
      <c r="O406" s="10"/>
    </row>
    <row r="407">
      <c r="B407" s="10"/>
      <c r="C407" s="10"/>
      <c r="D407" s="10"/>
      <c r="E407" s="10"/>
      <c r="F407" s="10"/>
      <c r="G407" s="10"/>
      <c r="H407" s="10"/>
      <c r="I407" s="10"/>
      <c r="M407" s="10"/>
      <c r="O407" s="10"/>
    </row>
    <row r="408">
      <c r="B408" s="10"/>
      <c r="C408" s="10"/>
      <c r="D408" s="10"/>
      <c r="E408" s="10"/>
      <c r="F408" s="10"/>
      <c r="G408" s="10"/>
      <c r="H408" s="10"/>
      <c r="I408" s="10"/>
      <c r="M408" s="10"/>
      <c r="O408" s="10"/>
    </row>
    <row r="409">
      <c r="B409" s="10"/>
      <c r="C409" s="10"/>
      <c r="D409" s="10"/>
      <c r="E409" s="10"/>
      <c r="F409" s="10"/>
      <c r="G409" s="10"/>
      <c r="H409" s="10"/>
      <c r="I409" s="10"/>
      <c r="M409" s="10"/>
      <c r="O409" s="10"/>
    </row>
    <row r="410">
      <c r="B410" s="10"/>
      <c r="C410" s="10"/>
      <c r="D410" s="10"/>
      <c r="E410" s="10"/>
      <c r="F410" s="10"/>
      <c r="G410" s="10"/>
      <c r="H410" s="10"/>
      <c r="I410" s="10"/>
      <c r="M410" s="10"/>
      <c r="O410" s="10"/>
    </row>
    <row r="411">
      <c r="B411" s="10"/>
      <c r="C411" s="10"/>
      <c r="D411" s="10"/>
      <c r="E411" s="10"/>
      <c r="F411" s="10"/>
      <c r="G411" s="10"/>
      <c r="H411" s="10"/>
      <c r="I411" s="10"/>
      <c r="M411" s="10"/>
      <c r="O411" s="10"/>
    </row>
    <row r="412">
      <c r="B412" s="10"/>
      <c r="C412" s="10"/>
      <c r="D412" s="10"/>
      <c r="E412" s="10"/>
      <c r="F412" s="10"/>
      <c r="G412" s="10"/>
      <c r="H412" s="10"/>
      <c r="I412" s="10"/>
      <c r="M412" s="10"/>
      <c r="O412" s="10"/>
    </row>
    <row r="413">
      <c r="B413" s="10"/>
      <c r="C413" s="10"/>
      <c r="D413" s="10"/>
      <c r="E413" s="10"/>
      <c r="F413" s="10"/>
      <c r="G413" s="10"/>
      <c r="H413" s="10"/>
      <c r="I413" s="10"/>
      <c r="M413" s="10"/>
      <c r="O413" s="10"/>
    </row>
    <row r="414">
      <c r="B414" s="10"/>
      <c r="C414" s="10"/>
      <c r="D414" s="10"/>
      <c r="E414" s="10"/>
      <c r="F414" s="10"/>
      <c r="G414" s="10"/>
      <c r="H414" s="10"/>
      <c r="I414" s="10"/>
      <c r="M414" s="10"/>
      <c r="O414" s="10"/>
    </row>
    <row r="415">
      <c r="B415" s="10"/>
      <c r="C415" s="10"/>
      <c r="D415" s="10"/>
      <c r="E415" s="10"/>
      <c r="F415" s="10"/>
      <c r="G415" s="10"/>
      <c r="H415" s="10"/>
      <c r="I415" s="10"/>
      <c r="M415" s="10"/>
      <c r="O415" s="10"/>
    </row>
    <row r="416">
      <c r="B416" s="10"/>
      <c r="C416" s="10"/>
      <c r="D416" s="10"/>
      <c r="E416" s="10"/>
      <c r="F416" s="10"/>
      <c r="G416" s="10"/>
      <c r="H416" s="10"/>
      <c r="I416" s="10"/>
      <c r="M416" s="10"/>
      <c r="O416" s="10"/>
    </row>
    <row r="417">
      <c r="B417" s="10"/>
      <c r="C417" s="10"/>
      <c r="D417" s="10"/>
      <c r="E417" s="10"/>
      <c r="F417" s="10"/>
      <c r="G417" s="10"/>
      <c r="H417" s="10"/>
      <c r="I417" s="10"/>
      <c r="M417" s="10"/>
      <c r="O417" s="10"/>
    </row>
    <row r="418">
      <c r="B418" s="10"/>
      <c r="C418" s="10"/>
      <c r="D418" s="10"/>
      <c r="E418" s="10"/>
      <c r="F418" s="10"/>
      <c r="G418" s="10"/>
      <c r="H418" s="10"/>
      <c r="I418" s="10"/>
      <c r="M418" s="10"/>
      <c r="O418" s="10"/>
    </row>
    <row r="419">
      <c r="B419" s="10"/>
      <c r="C419" s="10"/>
      <c r="D419" s="10"/>
      <c r="E419" s="10"/>
      <c r="F419" s="10"/>
      <c r="G419" s="10"/>
      <c r="H419" s="10"/>
      <c r="I419" s="10"/>
      <c r="M419" s="10"/>
      <c r="O419" s="10"/>
    </row>
    <row r="420">
      <c r="B420" s="10"/>
      <c r="C420" s="10"/>
      <c r="D420" s="10"/>
      <c r="E420" s="10"/>
      <c r="F420" s="10"/>
      <c r="G420" s="10"/>
      <c r="H420" s="10"/>
      <c r="I420" s="10"/>
      <c r="M420" s="10"/>
      <c r="O420" s="10"/>
    </row>
    <row r="421">
      <c r="B421" s="10"/>
      <c r="C421" s="10"/>
      <c r="D421" s="10"/>
      <c r="E421" s="10"/>
      <c r="F421" s="10"/>
      <c r="G421" s="10"/>
      <c r="H421" s="10"/>
      <c r="I421" s="10"/>
      <c r="M421" s="10"/>
      <c r="O421" s="10"/>
    </row>
    <row r="422">
      <c r="B422" s="10"/>
      <c r="C422" s="10"/>
      <c r="D422" s="10"/>
      <c r="E422" s="10"/>
      <c r="F422" s="10"/>
      <c r="G422" s="10"/>
      <c r="H422" s="10"/>
      <c r="I422" s="10"/>
      <c r="M422" s="10"/>
      <c r="O422" s="10"/>
    </row>
    <row r="423">
      <c r="B423" s="10"/>
      <c r="C423" s="10"/>
      <c r="D423" s="10"/>
      <c r="E423" s="10"/>
      <c r="F423" s="10"/>
      <c r="G423" s="10"/>
      <c r="H423" s="10"/>
      <c r="I423" s="10"/>
      <c r="M423" s="10"/>
      <c r="O423" s="10"/>
    </row>
    <row r="424">
      <c r="B424" s="10"/>
      <c r="C424" s="10"/>
      <c r="D424" s="10"/>
      <c r="E424" s="10"/>
      <c r="F424" s="10"/>
      <c r="G424" s="10"/>
      <c r="H424" s="10"/>
      <c r="I424" s="10"/>
      <c r="M424" s="10"/>
      <c r="O424" s="10"/>
    </row>
    <row r="425">
      <c r="B425" s="10"/>
      <c r="C425" s="10"/>
      <c r="D425" s="10"/>
      <c r="E425" s="10"/>
      <c r="F425" s="10"/>
      <c r="G425" s="10"/>
      <c r="H425" s="10"/>
      <c r="I425" s="10"/>
      <c r="M425" s="10"/>
      <c r="O425" s="10"/>
    </row>
    <row r="426">
      <c r="B426" s="10"/>
      <c r="C426" s="10"/>
      <c r="D426" s="10"/>
      <c r="E426" s="10"/>
      <c r="F426" s="10"/>
      <c r="G426" s="10"/>
      <c r="H426" s="10"/>
      <c r="I426" s="10"/>
      <c r="M426" s="10"/>
      <c r="O426" s="10"/>
    </row>
    <row r="427">
      <c r="B427" s="10"/>
      <c r="C427" s="10"/>
      <c r="D427" s="10"/>
      <c r="E427" s="10"/>
      <c r="F427" s="10"/>
      <c r="G427" s="10"/>
      <c r="H427" s="10"/>
      <c r="I427" s="10"/>
      <c r="M427" s="10"/>
      <c r="O427" s="10"/>
    </row>
    <row r="428">
      <c r="B428" s="10"/>
      <c r="C428" s="10"/>
      <c r="D428" s="10"/>
      <c r="E428" s="10"/>
      <c r="F428" s="10"/>
      <c r="G428" s="10"/>
      <c r="H428" s="10"/>
      <c r="I428" s="10"/>
      <c r="M428" s="10"/>
      <c r="O428" s="10"/>
    </row>
    <row r="429">
      <c r="B429" s="10"/>
      <c r="C429" s="10"/>
      <c r="D429" s="10"/>
      <c r="E429" s="10"/>
      <c r="F429" s="10"/>
      <c r="G429" s="10"/>
      <c r="H429" s="10"/>
      <c r="I429" s="10"/>
      <c r="M429" s="10"/>
      <c r="O429" s="10"/>
    </row>
    <row r="430">
      <c r="B430" s="10"/>
      <c r="C430" s="10"/>
      <c r="D430" s="10"/>
      <c r="E430" s="10"/>
      <c r="F430" s="10"/>
      <c r="G430" s="10"/>
      <c r="H430" s="10"/>
      <c r="I430" s="10"/>
      <c r="M430" s="10"/>
      <c r="O430" s="10"/>
    </row>
    <row r="431">
      <c r="B431" s="10"/>
      <c r="C431" s="10"/>
      <c r="D431" s="10"/>
      <c r="E431" s="10"/>
      <c r="F431" s="10"/>
      <c r="G431" s="10"/>
      <c r="H431" s="10"/>
      <c r="I431" s="10"/>
      <c r="M431" s="10"/>
      <c r="O431" s="10"/>
    </row>
    <row r="432">
      <c r="B432" s="10"/>
      <c r="C432" s="10"/>
      <c r="D432" s="10"/>
      <c r="E432" s="10"/>
      <c r="F432" s="10"/>
      <c r="G432" s="10"/>
      <c r="H432" s="10"/>
      <c r="I432" s="10"/>
      <c r="M432" s="10"/>
      <c r="O432" s="10"/>
    </row>
    <row r="433">
      <c r="B433" s="10"/>
      <c r="C433" s="10"/>
      <c r="D433" s="10"/>
      <c r="E433" s="10"/>
      <c r="F433" s="10"/>
      <c r="G433" s="10"/>
      <c r="H433" s="10"/>
      <c r="I433" s="10"/>
      <c r="M433" s="10"/>
      <c r="O433" s="10"/>
    </row>
    <row r="434">
      <c r="B434" s="10"/>
      <c r="C434" s="10"/>
      <c r="D434" s="10"/>
      <c r="E434" s="10"/>
      <c r="F434" s="10"/>
      <c r="G434" s="10"/>
      <c r="H434" s="10"/>
      <c r="I434" s="10"/>
      <c r="M434" s="10"/>
      <c r="O434" s="10"/>
    </row>
    <row r="435">
      <c r="B435" s="10"/>
      <c r="C435" s="10"/>
      <c r="D435" s="10"/>
      <c r="E435" s="10"/>
      <c r="F435" s="10"/>
      <c r="G435" s="10"/>
      <c r="H435" s="10"/>
      <c r="I435" s="10"/>
      <c r="M435" s="10"/>
      <c r="O435" s="10"/>
    </row>
    <row r="436">
      <c r="B436" s="10"/>
      <c r="C436" s="10"/>
      <c r="D436" s="10"/>
      <c r="E436" s="10"/>
      <c r="F436" s="10"/>
      <c r="G436" s="10"/>
      <c r="H436" s="10"/>
      <c r="I436" s="10"/>
      <c r="M436" s="10"/>
      <c r="O436" s="10"/>
    </row>
    <row r="437">
      <c r="B437" s="10"/>
      <c r="C437" s="10"/>
      <c r="D437" s="10"/>
      <c r="E437" s="10"/>
      <c r="F437" s="10"/>
      <c r="G437" s="10"/>
      <c r="H437" s="10"/>
      <c r="I437" s="10"/>
      <c r="M437" s="10"/>
      <c r="O437" s="10"/>
    </row>
    <row r="438">
      <c r="B438" s="10"/>
      <c r="C438" s="10"/>
      <c r="D438" s="10"/>
      <c r="E438" s="10"/>
      <c r="F438" s="10"/>
      <c r="G438" s="10"/>
      <c r="H438" s="10"/>
      <c r="I438" s="10"/>
      <c r="M438" s="10"/>
      <c r="O438" s="10"/>
    </row>
    <row r="439">
      <c r="B439" s="10"/>
      <c r="C439" s="10"/>
      <c r="D439" s="10"/>
      <c r="E439" s="10"/>
      <c r="F439" s="10"/>
      <c r="G439" s="10"/>
      <c r="H439" s="10"/>
      <c r="I439" s="10"/>
      <c r="M439" s="10"/>
      <c r="O439" s="10"/>
    </row>
    <row r="440">
      <c r="B440" s="10"/>
      <c r="C440" s="10"/>
      <c r="D440" s="10"/>
      <c r="E440" s="10"/>
      <c r="F440" s="10"/>
      <c r="G440" s="10"/>
      <c r="H440" s="10"/>
      <c r="I440" s="10"/>
      <c r="M440" s="10"/>
      <c r="O440" s="10"/>
    </row>
    <row r="441">
      <c r="B441" s="10"/>
      <c r="C441" s="10"/>
      <c r="D441" s="10"/>
      <c r="E441" s="10"/>
      <c r="F441" s="10"/>
      <c r="G441" s="10"/>
      <c r="H441" s="10"/>
      <c r="I441" s="10"/>
      <c r="M441" s="10"/>
      <c r="O441" s="10"/>
    </row>
    <row r="442">
      <c r="B442" s="10"/>
      <c r="C442" s="10"/>
      <c r="D442" s="10"/>
      <c r="E442" s="10"/>
      <c r="F442" s="10"/>
      <c r="G442" s="10"/>
      <c r="H442" s="10"/>
      <c r="I442" s="10"/>
      <c r="M442" s="10"/>
      <c r="O442" s="10"/>
    </row>
    <row r="443">
      <c r="B443" s="10"/>
      <c r="C443" s="10"/>
      <c r="D443" s="10"/>
      <c r="E443" s="10"/>
      <c r="F443" s="10"/>
      <c r="G443" s="10"/>
      <c r="H443" s="10"/>
      <c r="I443" s="10"/>
      <c r="M443" s="10"/>
      <c r="O443" s="10"/>
    </row>
    <row r="444">
      <c r="B444" s="10"/>
      <c r="C444" s="10"/>
      <c r="D444" s="10"/>
      <c r="E444" s="10"/>
      <c r="F444" s="10"/>
      <c r="G444" s="10"/>
      <c r="H444" s="10"/>
      <c r="I444" s="10"/>
      <c r="M444" s="10"/>
      <c r="O444" s="10"/>
    </row>
    <row r="445">
      <c r="B445" s="10"/>
      <c r="C445" s="10"/>
      <c r="D445" s="10"/>
      <c r="E445" s="10"/>
      <c r="F445" s="10"/>
      <c r="G445" s="10"/>
      <c r="H445" s="10"/>
      <c r="I445" s="10"/>
      <c r="M445" s="10"/>
      <c r="O445" s="10"/>
    </row>
    <row r="446">
      <c r="B446" s="10"/>
      <c r="C446" s="10"/>
      <c r="D446" s="10"/>
      <c r="E446" s="10"/>
      <c r="F446" s="10"/>
      <c r="G446" s="10"/>
      <c r="H446" s="10"/>
      <c r="I446" s="10"/>
      <c r="M446" s="10"/>
      <c r="O446" s="10"/>
    </row>
    <row r="447">
      <c r="B447" s="10"/>
      <c r="C447" s="10"/>
      <c r="D447" s="10"/>
      <c r="E447" s="10"/>
      <c r="F447" s="10"/>
      <c r="G447" s="10"/>
      <c r="H447" s="10"/>
      <c r="I447" s="10"/>
      <c r="M447" s="10"/>
      <c r="O447" s="10"/>
    </row>
    <row r="448">
      <c r="B448" s="10"/>
      <c r="C448" s="10"/>
      <c r="D448" s="10"/>
      <c r="E448" s="10"/>
      <c r="F448" s="10"/>
      <c r="G448" s="10"/>
      <c r="H448" s="10"/>
      <c r="I448" s="10"/>
      <c r="M448" s="10"/>
      <c r="O448" s="10"/>
    </row>
    <row r="449">
      <c r="B449" s="10"/>
      <c r="C449" s="10"/>
      <c r="D449" s="10"/>
      <c r="E449" s="10"/>
      <c r="F449" s="10"/>
      <c r="G449" s="10"/>
      <c r="H449" s="10"/>
      <c r="I449" s="10"/>
      <c r="M449" s="10"/>
      <c r="O449" s="10"/>
    </row>
    <row r="450">
      <c r="B450" s="10"/>
      <c r="C450" s="10"/>
      <c r="D450" s="10"/>
      <c r="E450" s="10"/>
      <c r="F450" s="10"/>
      <c r="G450" s="10"/>
      <c r="H450" s="10"/>
      <c r="I450" s="10"/>
      <c r="M450" s="10"/>
      <c r="O450" s="10"/>
    </row>
    <row r="451">
      <c r="B451" s="10"/>
      <c r="C451" s="10"/>
      <c r="D451" s="10"/>
      <c r="E451" s="10"/>
      <c r="F451" s="10"/>
      <c r="G451" s="10"/>
      <c r="H451" s="10"/>
      <c r="I451" s="10"/>
      <c r="M451" s="10"/>
      <c r="O451" s="10"/>
    </row>
    <row r="452">
      <c r="B452" s="10"/>
      <c r="C452" s="10"/>
      <c r="D452" s="10"/>
      <c r="E452" s="10"/>
      <c r="F452" s="10"/>
      <c r="G452" s="10"/>
      <c r="H452" s="10"/>
      <c r="I452" s="10"/>
      <c r="M452" s="10"/>
      <c r="O452" s="10"/>
    </row>
    <row r="453">
      <c r="B453" s="10"/>
      <c r="C453" s="10"/>
      <c r="D453" s="10"/>
      <c r="E453" s="10"/>
      <c r="F453" s="10"/>
      <c r="G453" s="10"/>
      <c r="H453" s="10"/>
      <c r="I453" s="10"/>
      <c r="M453" s="10"/>
      <c r="O453" s="10"/>
    </row>
    <row r="454">
      <c r="B454" s="10"/>
      <c r="C454" s="10"/>
      <c r="D454" s="10"/>
      <c r="E454" s="10"/>
      <c r="F454" s="10"/>
      <c r="G454" s="10"/>
      <c r="H454" s="10"/>
      <c r="I454" s="10"/>
      <c r="M454" s="10"/>
      <c r="O454" s="10"/>
    </row>
    <row r="455">
      <c r="B455" s="10"/>
      <c r="C455" s="10"/>
      <c r="D455" s="10"/>
      <c r="E455" s="10"/>
      <c r="F455" s="10"/>
      <c r="G455" s="10"/>
      <c r="H455" s="10"/>
      <c r="I455" s="10"/>
      <c r="M455" s="10"/>
      <c r="O455" s="10"/>
    </row>
    <row r="456">
      <c r="B456" s="10"/>
      <c r="C456" s="10"/>
      <c r="D456" s="10"/>
      <c r="E456" s="10"/>
      <c r="F456" s="10"/>
      <c r="G456" s="10"/>
      <c r="H456" s="10"/>
      <c r="I456" s="10"/>
      <c r="M456" s="10"/>
      <c r="O456" s="10"/>
    </row>
    <row r="457">
      <c r="B457" s="10"/>
      <c r="C457" s="10"/>
      <c r="D457" s="10"/>
      <c r="E457" s="10"/>
      <c r="F457" s="10"/>
      <c r="G457" s="10"/>
      <c r="H457" s="10"/>
      <c r="I457" s="10"/>
      <c r="M457" s="10"/>
      <c r="O457" s="10"/>
    </row>
    <row r="458">
      <c r="B458" s="10"/>
      <c r="C458" s="10"/>
      <c r="D458" s="10"/>
      <c r="E458" s="10"/>
      <c r="F458" s="10"/>
      <c r="G458" s="10"/>
      <c r="H458" s="10"/>
      <c r="I458" s="10"/>
      <c r="M458" s="10"/>
      <c r="O458" s="10"/>
    </row>
    <row r="459">
      <c r="B459" s="10"/>
      <c r="C459" s="10"/>
      <c r="D459" s="10"/>
      <c r="E459" s="10"/>
      <c r="F459" s="10"/>
      <c r="G459" s="10"/>
      <c r="H459" s="10"/>
      <c r="I459" s="10"/>
      <c r="M459" s="10"/>
      <c r="O459" s="10"/>
    </row>
    <row r="460">
      <c r="B460" s="10"/>
      <c r="C460" s="10"/>
      <c r="D460" s="10"/>
      <c r="E460" s="10"/>
      <c r="F460" s="10"/>
      <c r="G460" s="10"/>
      <c r="H460" s="10"/>
      <c r="I460" s="10"/>
      <c r="M460" s="10"/>
      <c r="O460" s="10"/>
    </row>
    <row r="461">
      <c r="B461" s="10"/>
      <c r="C461" s="10"/>
      <c r="D461" s="10"/>
      <c r="E461" s="10"/>
      <c r="F461" s="10"/>
      <c r="G461" s="10"/>
      <c r="H461" s="10"/>
      <c r="I461" s="10"/>
      <c r="M461" s="10"/>
      <c r="O461" s="10"/>
    </row>
    <row r="462">
      <c r="B462" s="10"/>
      <c r="C462" s="10"/>
      <c r="D462" s="10"/>
      <c r="E462" s="10"/>
      <c r="F462" s="10"/>
      <c r="G462" s="10"/>
      <c r="H462" s="10"/>
      <c r="I462" s="10"/>
      <c r="M462" s="10"/>
      <c r="O462" s="10"/>
    </row>
    <row r="463">
      <c r="B463" s="10"/>
      <c r="C463" s="10"/>
      <c r="D463" s="10"/>
      <c r="E463" s="10"/>
      <c r="F463" s="10"/>
      <c r="G463" s="10"/>
      <c r="H463" s="10"/>
      <c r="I463" s="10"/>
      <c r="M463" s="10"/>
      <c r="O463" s="10"/>
    </row>
    <row r="464">
      <c r="B464" s="10"/>
      <c r="C464" s="10"/>
      <c r="D464" s="10"/>
      <c r="E464" s="10"/>
      <c r="F464" s="10"/>
      <c r="G464" s="10"/>
      <c r="H464" s="10"/>
      <c r="I464" s="10"/>
      <c r="M464" s="10"/>
      <c r="O464" s="10"/>
    </row>
    <row r="465">
      <c r="B465" s="10"/>
      <c r="C465" s="10"/>
      <c r="D465" s="10"/>
      <c r="E465" s="10"/>
      <c r="F465" s="10"/>
      <c r="G465" s="10"/>
      <c r="H465" s="10"/>
      <c r="I465" s="10"/>
      <c r="M465" s="10"/>
      <c r="O465" s="10"/>
    </row>
    <row r="466">
      <c r="B466" s="10"/>
      <c r="C466" s="10"/>
      <c r="D466" s="10"/>
      <c r="E466" s="10"/>
      <c r="F466" s="10"/>
      <c r="G466" s="10"/>
      <c r="H466" s="10"/>
      <c r="I466" s="10"/>
      <c r="M466" s="10"/>
      <c r="O466" s="10"/>
    </row>
    <row r="467">
      <c r="B467" s="10"/>
      <c r="C467" s="10"/>
      <c r="D467" s="10"/>
      <c r="E467" s="10"/>
      <c r="F467" s="10"/>
      <c r="G467" s="10"/>
      <c r="H467" s="10"/>
      <c r="I467" s="10"/>
      <c r="M467" s="10"/>
      <c r="O467" s="10"/>
    </row>
    <row r="468">
      <c r="B468" s="10"/>
      <c r="C468" s="10"/>
      <c r="D468" s="10"/>
      <c r="E468" s="10"/>
      <c r="F468" s="10"/>
      <c r="G468" s="10"/>
      <c r="H468" s="10"/>
      <c r="I468" s="10"/>
      <c r="M468" s="10"/>
      <c r="O468" s="10"/>
    </row>
    <row r="469">
      <c r="B469" s="10"/>
      <c r="C469" s="10"/>
      <c r="D469" s="10"/>
      <c r="E469" s="10"/>
      <c r="F469" s="10"/>
      <c r="G469" s="10"/>
      <c r="H469" s="10"/>
      <c r="I469" s="10"/>
      <c r="M469" s="10"/>
      <c r="O469" s="10"/>
    </row>
    <row r="470">
      <c r="B470" s="10"/>
      <c r="C470" s="10"/>
      <c r="D470" s="10"/>
      <c r="E470" s="10"/>
      <c r="F470" s="10"/>
      <c r="G470" s="10"/>
      <c r="H470" s="10"/>
      <c r="I470" s="10"/>
      <c r="M470" s="10"/>
      <c r="O470" s="10"/>
    </row>
    <row r="471">
      <c r="B471" s="10"/>
      <c r="C471" s="10"/>
      <c r="D471" s="10"/>
      <c r="E471" s="10"/>
      <c r="F471" s="10"/>
      <c r="G471" s="10"/>
      <c r="H471" s="10"/>
      <c r="I471" s="10"/>
      <c r="M471" s="10"/>
      <c r="O471" s="10"/>
    </row>
    <row r="472">
      <c r="B472" s="10"/>
      <c r="C472" s="10"/>
      <c r="D472" s="10"/>
      <c r="E472" s="10"/>
      <c r="F472" s="10"/>
      <c r="G472" s="10"/>
      <c r="H472" s="10"/>
      <c r="I472" s="10"/>
      <c r="M472" s="10"/>
      <c r="O472" s="10"/>
    </row>
    <row r="473">
      <c r="B473" s="10"/>
      <c r="C473" s="10"/>
      <c r="D473" s="10"/>
      <c r="E473" s="10"/>
      <c r="F473" s="10"/>
      <c r="G473" s="10"/>
      <c r="H473" s="10"/>
      <c r="I473" s="10"/>
      <c r="M473" s="10"/>
      <c r="O473" s="10"/>
    </row>
    <row r="474">
      <c r="B474" s="10"/>
      <c r="C474" s="10"/>
      <c r="D474" s="10"/>
      <c r="E474" s="10"/>
      <c r="F474" s="10"/>
      <c r="G474" s="10"/>
      <c r="H474" s="10"/>
      <c r="I474" s="10"/>
      <c r="M474" s="10"/>
      <c r="O474" s="10"/>
    </row>
    <row r="475">
      <c r="B475" s="10"/>
      <c r="C475" s="10"/>
      <c r="D475" s="10"/>
      <c r="E475" s="10"/>
      <c r="F475" s="10"/>
      <c r="G475" s="10"/>
      <c r="H475" s="10"/>
      <c r="I475" s="10"/>
      <c r="M475" s="10"/>
      <c r="O475" s="10"/>
    </row>
    <row r="476">
      <c r="B476" s="10"/>
      <c r="C476" s="10"/>
      <c r="D476" s="10"/>
      <c r="E476" s="10"/>
      <c r="F476" s="10"/>
      <c r="G476" s="10"/>
      <c r="H476" s="10"/>
      <c r="I476" s="10"/>
      <c r="M476" s="10"/>
      <c r="O476" s="10"/>
    </row>
    <row r="477">
      <c r="B477" s="10"/>
      <c r="C477" s="10"/>
      <c r="D477" s="10"/>
      <c r="E477" s="10"/>
      <c r="F477" s="10"/>
      <c r="G477" s="10"/>
      <c r="H477" s="10"/>
      <c r="I477" s="10"/>
      <c r="M477" s="10"/>
      <c r="O477" s="10"/>
    </row>
    <row r="478">
      <c r="B478" s="10"/>
      <c r="C478" s="10"/>
      <c r="D478" s="10"/>
      <c r="E478" s="10"/>
      <c r="F478" s="10"/>
      <c r="G478" s="10"/>
      <c r="H478" s="10"/>
      <c r="I478" s="10"/>
      <c r="M478" s="10"/>
      <c r="O478" s="10"/>
    </row>
    <row r="479">
      <c r="B479" s="10"/>
      <c r="C479" s="10"/>
      <c r="D479" s="10"/>
      <c r="E479" s="10"/>
      <c r="F479" s="10"/>
      <c r="G479" s="10"/>
      <c r="H479" s="10"/>
      <c r="I479" s="10"/>
      <c r="M479" s="10"/>
      <c r="O479" s="10"/>
    </row>
    <row r="480">
      <c r="B480" s="10"/>
      <c r="C480" s="10"/>
      <c r="D480" s="10"/>
      <c r="E480" s="10"/>
      <c r="F480" s="10"/>
      <c r="G480" s="10"/>
      <c r="H480" s="10"/>
      <c r="I480" s="10"/>
      <c r="M480" s="10"/>
      <c r="O480" s="10"/>
    </row>
    <row r="481">
      <c r="B481" s="10"/>
      <c r="C481" s="10"/>
      <c r="D481" s="10"/>
      <c r="E481" s="10"/>
      <c r="F481" s="10"/>
      <c r="G481" s="10"/>
      <c r="H481" s="10"/>
      <c r="I481" s="10"/>
      <c r="M481" s="10"/>
      <c r="O481" s="10"/>
    </row>
    <row r="482">
      <c r="B482" s="10"/>
      <c r="C482" s="10"/>
      <c r="D482" s="10"/>
      <c r="E482" s="10"/>
      <c r="F482" s="10"/>
      <c r="G482" s="10"/>
      <c r="H482" s="10"/>
      <c r="I482" s="10"/>
      <c r="M482" s="10"/>
      <c r="O482" s="10"/>
    </row>
    <row r="483">
      <c r="B483" s="10"/>
      <c r="C483" s="10"/>
      <c r="D483" s="10"/>
      <c r="E483" s="10"/>
      <c r="F483" s="10"/>
      <c r="G483" s="10"/>
      <c r="H483" s="10"/>
      <c r="I483" s="10"/>
      <c r="M483" s="10"/>
      <c r="O483" s="10"/>
    </row>
    <row r="484">
      <c r="B484" s="10"/>
      <c r="C484" s="10"/>
      <c r="D484" s="10"/>
      <c r="E484" s="10"/>
      <c r="F484" s="10"/>
      <c r="G484" s="10"/>
      <c r="H484" s="10"/>
      <c r="I484" s="10"/>
      <c r="M484" s="10"/>
      <c r="O484" s="10"/>
    </row>
    <row r="485">
      <c r="B485" s="10"/>
      <c r="C485" s="10"/>
      <c r="D485" s="10"/>
      <c r="E485" s="10"/>
      <c r="F485" s="10"/>
      <c r="G485" s="10"/>
      <c r="H485" s="10"/>
      <c r="I485" s="10"/>
      <c r="M485" s="10"/>
      <c r="O485" s="10"/>
    </row>
    <row r="486">
      <c r="B486" s="10"/>
      <c r="C486" s="10"/>
      <c r="D486" s="10"/>
      <c r="E486" s="10"/>
      <c r="F486" s="10"/>
      <c r="G486" s="10"/>
      <c r="H486" s="10"/>
      <c r="I486" s="10"/>
      <c r="M486" s="10"/>
      <c r="O486" s="10"/>
    </row>
    <row r="487">
      <c r="B487" s="10"/>
      <c r="C487" s="10"/>
      <c r="D487" s="10"/>
      <c r="E487" s="10"/>
      <c r="F487" s="10"/>
      <c r="G487" s="10"/>
      <c r="H487" s="10"/>
      <c r="I487" s="10"/>
      <c r="M487" s="10"/>
      <c r="O487" s="10"/>
    </row>
    <row r="488">
      <c r="B488" s="10"/>
      <c r="C488" s="10"/>
      <c r="D488" s="10"/>
      <c r="E488" s="10"/>
      <c r="F488" s="10"/>
      <c r="G488" s="10"/>
      <c r="H488" s="10"/>
      <c r="I488" s="10"/>
      <c r="M488" s="10"/>
      <c r="O488" s="10"/>
    </row>
    <row r="489">
      <c r="B489" s="10"/>
      <c r="C489" s="10"/>
      <c r="D489" s="10"/>
      <c r="E489" s="10"/>
      <c r="F489" s="10"/>
      <c r="G489" s="10"/>
      <c r="H489" s="10"/>
      <c r="I489" s="10"/>
      <c r="M489" s="10"/>
      <c r="O489" s="10"/>
    </row>
    <row r="490">
      <c r="B490" s="10"/>
      <c r="C490" s="10"/>
      <c r="D490" s="10"/>
      <c r="E490" s="10"/>
      <c r="F490" s="10"/>
      <c r="G490" s="10"/>
      <c r="H490" s="10"/>
      <c r="I490" s="10"/>
      <c r="M490" s="10"/>
      <c r="O490" s="10"/>
    </row>
    <row r="491">
      <c r="B491" s="10"/>
      <c r="C491" s="10"/>
      <c r="D491" s="10"/>
      <c r="E491" s="10"/>
      <c r="F491" s="10"/>
      <c r="G491" s="10"/>
      <c r="H491" s="10"/>
      <c r="I491" s="10"/>
      <c r="M491" s="10"/>
      <c r="O491" s="10"/>
    </row>
    <row r="492">
      <c r="B492" s="10"/>
      <c r="C492" s="10"/>
      <c r="D492" s="10"/>
      <c r="E492" s="10"/>
      <c r="F492" s="10"/>
      <c r="G492" s="10"/>
      <c r="H492" s="10"/>
      <c r="I492" s="10"/>
      <c r="M492" s="10"/>
      <c r="O492" s="10"/>
    </row>
    <row r="493">
      <c r="B493" s="10"/>
      <c r="C493" s="10"/>
      <c r="D493" s="10"/>
      <c r="E493" s="10"/>
      <c r="F493" s="10"/>
      <c r="G493" s="10"/>
      <c r="H493" s="10"/>
      <c r="I493" s="10"/>
      <c r="M493" s="10"/>
      <c r="O493" s="10"/>
    </row>
    <row r="494">
      <c r="B494" s="10"/>
      <c r="C494" s="10"/>
      <c r="D494" s="10"/>
      <c r="E494" s="10"/>
      <c r="F494" s="10"/>
      <c r="G494" s="10"/>
      <c r="H494" s="10"/>
      <c r="I494" s="10"/>
      <c r="M494" s="10"/>
      <c r="O494" s="10"/>
    </row>
    <row r="495">
      <c r="B495" s="10"/>
      <c r="C495" s="10"/>
      <c r="D495" s="10"/>
      <c r="E495" s="10"/>
      <c r="F495" s="10"/>
      <c r="G495" s="10"/>
      <c r="H495" s="10"/>
      <c r="I495" s="10"/>
      <c r="M495" s="10"/>
      <c r="O495" s="10"/>
    </row>
    <row r="496">
      <c r="B496" s="10"/>
      <c r="C496" s="10"/>
      <c r="D496" s="10"/>
      <c r="E496" s="10"/>
      <c r="F496" s="10"/>
      <c r="G496" s="10"/>
      <c r="H496" s="10"/>
      <c r="I496" s="10"/>
      <c r="M496" s="10"/>
      <c r="O496" s="10"/>
    </row>
    <row r="497">
      <c r="B497" s="10"/>
      <c r="C497" s="10"/>
      <c r="D497" s="10"/>
      <c r="E497" s="10"/>
      <c r="F497" s="10"/>
      <c r="G497" s="10"/>
      <c r="H497" s="10"/>
      <c r="I497" s="10"/>
      <c r="M497" s="10"/>
      <c r="O497" s="10"/>
    </row>
    <row r="498">
      <c r="B498" s="10"/>
      <c r="C498" s="10"/>
      <c r="D498" s="10"/>
      <c r="E498" s="10"/>
      <c r="F498" s="10"/>
      <c r="G498" s="10"/>
      <c r="H498" s="10"/>
      <c r="I498" s="10"/>
      <c r="M498" s="10"/>
      <c r="O498" s="10"/>
    </row>
    <row r="499">
      <c r="B499" s="10"/>
      <c r="C499" s="10"/>
      <c r="D499" s="10"/>
      <c r="E499" s="10"/>
      <c r="F499" s="10"/>
      <c r="G499" s="10"/>
      <c r="H499" s="10"/>
      <c r="I499" s="10"/>
      <c r="M499" s="10"/>
      <c r="O499" s="10"/>
    </row>
    <row r="500">
      <c r="B500" s="10"/>
      <c r="C500" s="10"/>
      <c r="D500" s="10"/>
      <c r="E500" s="10"/>
      <c r="F500" s="10"/>
      <c r="G500" s="10"/>
      <c r="H500" s="10"/>
      <c r="I500" s="10"/>
      <c r="M500" s="10"/>
      <c r="O500" s="10"/>
    </row>
    <row r="501">
      <c r="B501" s="10"/>
      <c r="C501" s="10"/>
      <c r="D501" s="10"/>
      <c r="E501" s="10"/>
      <c r="F501" s="10"/>
      <c r="G501" s="10"/>
      <c r="H501" s="10"/>
      <c r="I501" s="10"/>
      <c r="M501" s="10"/>
      <c r="O501" s="10"/>
    </row>
    <row r="502">
      <c r="B502" s="10"/>
      <c r="C502" s="10"/>
      <c r="D502" s="10"/>
      <c r="E502" s="10"/>
      <c r="F502" s="10"/>
      <c r="G502" s="10"/>
      <c r="H502" s="10"/>
      <c r="I502" s="10"/>
      <c r="M502" s="10"/>
      <c r="O502" s="10"/>
    </row>
    <row r="503">
      <c r="B503" s="10"/>
      <c r="C503" s="10"/>
      <c r="D503" s="10"/>
      <c r="E503" s="10"/>
      <c r="F503" s="10"/>
      <c r="G503" s="10"/>
      <c r="H503" s="10"/>
      <c r="I503" s="10"/>
      <c r="M503" s="10"/>
      <c r="O503" s="10"/>
    </row>
    <row r="504">
      <c r="B504" s="10"/>
      <c r="C504" s="10"/>
      <c r="D504" s="10"/>
      <c r="E504" s="10"/>
      <c r="F504" s="10"/>
      <c r="G504" s="10"/>
      <c r="H504" s="10"/>
      <c r="I504" s="10"/>
      <c r="M504" s="10"/>
      <c r="O504" s="10"/>
    </row>
    <row r="505">
      <c r="B505" s="10"/>
      <c r="C505" s="10"/>
      <c r="D505" s="10"/>
      <c r="E505" s="10"/>
      <c r="F505" s="10"/>
      <c r="G505" s="10"/>
      <c r="H505" s="10"/>
      <c r="I505" s="10"/>
      <c r="M505" s="10"/>
      <c r="O505" s="10"/>
    </row>
    <row r="506">
      <c r="B506" s="10"/>
      <c r="C506" s="10"/>
      <c r="D506" s="10"/>
      <c r="E506" s="10"/>
      <c r="F506" s="10"/>
      <c r="G506" s="10"/>
      <c r="H506" s="10"/>
      <c r="I506" s="10"/>
      <c r="M506" s="10"/>
      <c r="O506" s="10"/>
    </row>
    <row r="507">
      <c r="B507" s="10"/>
      <c r="C507" s="10"/>
      <c r="D507" s="10"/>
      <c r="E507" s="10"/>
      <c r="F507" s="10"/>
      <c r="G507" s="10"/>
      <c r="H507" s="10"/>
      <c r="I507" s="10"/>
      <c r="M507" s="10"/>
      <c r="O507" s="10"/>
    </row>
    <row r="508">
      <c r="B508" s="10"/>
      <c r="C508" s="10"/>
      <c r="D508" s="10"/>
      <c r="E508" s="10"/>
      <c r="F508" s="10"/>
      <c r="G508" s="10"/>
      <c r="H508" s="10"/>
      <c r="I508" s="10"/>
      <c r="M508" s="10"/>
      <c r="O508" s="10"/>
    </row>
    <row r="509">
      <c r="B509" s="10"/>
      <c r="C509" s="10"/>
      <c r="D509" s="10"/>
      <c r="E509" s="10"/>
      <c r="F509" s="10"/>
      <c r="G509" s="10"/>
      <c r="H509" s="10"/>
      <c r="I509" s="10"/>
      <c r="M509" s="10"/>
      <c r="O509" s="10"/>
    </row>
    <row r="510">
      <c r="B510" s="10"/>
      <c r="C510" s="10"/>
      <c r="D510" s="10"/>
      <c r="E510" s="10"/>
      <c r="F510" s="10"/>
      <c r="G510" s="10"/>
      <c r="H510" s="10"/>
      <c r="I510" s="10"/>
      <c r="M510" s="10"/>
      <c r="O510" s="10"/>
    </row>
    <row r="511">
      <c r="B511" s="10"/>
      <c r="C511" s="10"/>
      <c r="D511" s="10"/>
      <c r="E511" s="10"/>
      <c r="F511" s="10"/>
      <c r="G511" s="10"/>
      <c r="H511" s="10"/>
      <c r="I511" s="10"/>
      <c r="M511" s="10"/>
      <c r="O511" s="10"/>
    </row>
    <row r="512">
      <c r="B512" s="10"/>
      <c r="C512" s="10"/>
      <c r="D512" s="10"/>
      <c r="E512" s="10"/>
      <c r="F512" s="10"/>
      <c r="G512" s="10"/>
      <c r="H512" s="10"/>
      <c r="I512" s="10"/>
      <c r="M512" s="10"/>
      <c r="O512" s="10"/>
    </row>
    <row r="513">
      <c r="B513" s="10"/>
      <c r="C513" s="10"/>
      <c r="D513" s="10"/>
      <c r="E513" s="10"/>
      <c r="F513" s="10"/>
      <c r="G513" s="10"/>
      <c r="H513" s="10"/>
      <c r="I513" s="10"/>
      <c r="M513" s="10"/>
      <c r="O513" s="10"/>
    </row>
    <row r="514">
      <c r="B514" s="10"/>
      <c r="C514" s="10"/>
      <c r="D514" s="10"/>
      <c r="E514" s="10"/>
      <c r="F514" s="10"/>
      <c r="G514" s="10"/>
      <c r="H514" s="10"/>
      <c r="I514" s="10"/>
      <c r="M514" s="10"/>
      <c r="O514" s="10"/>
    </row>
    <row r="515">
      <c r="B515" s="10"/>
      <c r="C515" s="10"/>
      <c r="D515" s="10"/>
      <c r="E515" s="10"/>
      <c r="F515" s="10"/>
      <c r="G515" s="10"/>
      <c r="H515" s="10"/>
      <c r="I515" s="10"/>
      <c r="M515" s="10"/>
      <c r="O515" s="10"/>
    </row>
    <row r="516">
      <c r="B516" s="10"/>
      <c r="C516" s="10"/>
      <c r="D516" s="10"/>
      <c r="E516" s="10"/>
      <c r="F516" s="10"/>
      <c r="G516" s="10"/>
      <c r="H516" s="10"/>
      <c r="I516" s="10"/>
      <c r="M516" s="10"/>
      <c r="O516" s="10"/>
    </row>
    <row r="517">
      <c r="B517" s="10"/>
      <c r="C517" s="10"/>
      <c r="D517" s="10"/>
      <c r="E517" s="10"/>
      <c r="F517" s="10"/>
      <c r="G517" s="10"/>
      <c r="H517" s="10"/>
      <c r="I517" s="10"/>
      <c r="M517" s="10"/>
      <c r="O517" s="10"/>
    </row>
    <row r="518">
      <c r="B518" s="10"/>
      <c r="C518" s="10"/>
      <c r="D518" s="10"/>
      <c r="E518" s="10"/>
      <c r="F518" s="10"/>
      <c r="G518" s="10"/>
      <c r="H518" s="10"/>
      <c r="I518" s="10"/>
      <c r="M518" s="10"/>
      <c r="O518" s="10"/>
    </row>
    <row r="519">
      <c r="B519" s="10"/>
      <c r="C519" s="10"/>
      <c r="D519" s="10"/>
      <c r="E519" s="10"/>
      <c r="F519" s="10"/>
      <c r="G519" s="10"/>
      <c r="H519" s="10"/>
      <c r="I519" s="10"/>
      <c r="M519" s="10"/>
      <c r="O519" s="10"/>
    </row>
    <row r="520">
      <c r="B520" s="10"/>
      <c r="C520" s="10"/>
      <c r="D520" s="10"/>
      <c r="E520" s="10"/>
      <c r="F520" s="10"/>
      <c r="G520" s="10"/>
      <c r="H520" s="10"/>
      <c r="I520" s="10"/>
      <c r="M520" s="10"/>
      <c r="O520" s="10"/>
    </row>
    <row r="521">
      <c r="B521" s="10"/>
      <c r="C521" s="10"/>
      <c r="D521" s="10"/>
      <c r="E521" s="10"/>
      <c r="F521" s="10"/>
      <c r="G521" s="10"/>
      <c r="H521" s="10"/>
      <c r="I521" s="10"/>
      <c r="M521" s="10"/>
      <c r="O521" s="10"/>
    </row>
    <row r="522">
      <c r="B522" s="10"/>
      <c r="C522" s="10"/>
      <c r="D522" s="10"/>
      <c r="E522" s="10"/>
      <c r="F522" s="10"/>
      <c r="G522" s="10"/>
      <c r="H522" s="10"/>
      <c r="I522" s="10"/>
      <c r="M522" s="10"/>
      <c r="O522" s="10"/>
    </row>
    <row r="523">
      <c r="B523" s="10"/>
      <c r="C523" s="10"/>
      <c r="D523" s="10"/>
      <c r="E523" s="10"/>
      <c r="F523" s="10"/>
      <c r="G523" s="10"/>
      <c r="H523" s="10"/>
      <c r="I523" s="10"/>
      <c r="M523" s="10"/>
      <c r="O523" s="10"/>
    </row>
    <row r="524">
      <c r="B524" s="10"/>
      <c r="C524" s="10"/>
      <c r="D524" s="10"/>
      <c r="E524" s="10"/>
      <c r="F524" s="10"/>
      <c r="G524" s="10"/>
      <c r="H524" s="10"/>
      <c r="I524" s="10"/>
      <c r="M524" s="10"/>
      <c r="O524" s="10"/>
    </row>
    <row r="525">
      <c r="B525" s="10"/>
      <c r="C525" s="10"/>
      <c r="D525" s="10"/>
      <c r="E525" s="10"/>
      <c r="F525" s="10"/>
      <c r="G525" s="10"/>
      <c r="H525" s="10"/>
      <c r="I525" s="10"/>
      <c r="M525" s="10"/>
      <c r="O525" s="10"/>
    </row>
    <row r="526">
      <c r="B526" s="10"/>
      <c r="C526" s="10"/>
      <c r="D526" s="10"/>
      <c r="E526" s="10"/>
      <c r="F526" s="10"/>
      <c r="G526" s="10"/>
      <c r="H526" s="10"/>
      <c r="I526" s="10"/>
      <c r="M526" s="10"/>
      <c r="O526" s="10"/>
    </row>
    <row r="527">
      <c r="B527" s="10"/>
      <c r="C527" s="10"/>
      <c r="D527" s="10"/>
      <c r="E527" s="10"/>
      <c r="F527" s="10"/>
      <c r="G527" s="10"/>
      <c r="H527" s="10"/>
      <c r="I527" s="10"/>
      <c r="M527" s="10"/>
      <c r="O527" s="10"/>
    </row>
    <row r="528">
      <c r="B528" s="10"/>
      <c r="C528" s="10"/>
      <c r="D528" s="10"/>
      <c r="E528" s="10"/>
      <c r="F528" s="10"/>
      <c r="G528" s="10"/>
      <c r="H528" s="10"/>
      <c r="I528" s="10"/>
      <c r="M528" s="10"/>
      <c r="O528" s="10"/>
    </row>
    <row r="529">
      <c r="B529" s="10"/>
      <c r="C529" s="10"/>
      <c r="D529" s="10"/>
      <c r="E529" s="10"/>
      <c r="F529" s="10"/>
      <c r="G529" s="10"/>
      <c r="H529" s="10"/>
      <c r="I529" s="10"/>
      <c r="M529" s="10"/>
      <c r="O529" s="10"/>
    </row>
    <row r="530">
      <c r="B530" s="10"/>
      <c r="C530" s="10"/>
      <c r="D530" s="10"/>
      <c r="E530" s="10"/>
      <c r="F530" s="10"/>
      <c r="G530" s="10"/>
      <c r="H530" s="10"/>
      <c r="I530" s="10"/>
      <c r="M530" s="10"/>
      <c r="O530" s="10"/>
    </row>
    <row r="531">
      <c r="B531" s="10"/>
      <c r="C531" s="10"/>
      <c r="D531" s="10"/>
      <c r="E531" s="10"/>
      <c r="F531" s="10"/>
      <c r="G531" s="10"/>
      <c r="H531" s="10"/>
      <c r="I531" s="10"/>
      <c r="M531" s="10"/>
      <c r="O531" s="10"/>
    </row>
    <row r="532">
      <c r="B532" s="10"/>
      <c r="C532" s="10"/>
      <c r="D532" s="10"/>
      <c r="E532" s="10"/>
      <c r="F532" s="10"/>
      <c r="G532" s="10"/>
      <c r="H532" s="10"/>
      <c r="I532" s="10"/>
      <c r="M532" s="10"/>
      <c r="O532" s="10"/>
    </row>
    <row r="533">
      <c r="B533" s="10"/>
      <c r="C533" s="10"/>
      <c r="D533" s="10"/>
      <c r="E533" s="10"/>
      <c r="F533" s="10"/>
      <c r="G533" s="10"/>
      <c r="H533" s="10"/>
      <c r="I533" s="10"/>
      <c r="M533" s="10"/>
      <c r="O533" s="10"/>
    </row>
    <row r="534">
      <c r="B534" s="10"/>
      <c r="C534" s="10"/>
      <c r="D534" s="10"/>
      <c r="E534" s="10"/>
      <c r="F534" s="10"/>
      <c r="G534" s="10"/>
      <c r="H534" s="10"/>
      <c r="I534" s="10"/>
      <c r="M534" s="10"/>
      <c r="O534" s="10"/>
    </row>
    <row r="535">
      <c r="B535" s="10"/>
      <c r="C535" s="10"/>
      <c r="D535" s="10"/>
      <c r="E535" s="10"/>
      <c r="F535" s="10"/>
      <c r="G535" s="10"/>
      <c r="H535" s="10"/>
      <c r="I535" s="10"/>
      <c r="M535" s="10"/>
      <c r="O535" s="10"/>
    </row>
    <row r="536">
      <c r="B536" s="10"/>
      <c r="C536" s="10"/>
      <c r="D536" s="10"/>
      <c r="E536" s="10"/>
      <c r="F536" s="10"/>
      <c r="G536" s="10"/>
      <c r="H536" s="10"/>
      <c r="I536" s="10"/>
      <c r="M536" s="10"/>
      <c r="O536" s="10"/>
    </row>
    <row r="537">
      <c r="B537" s="10"/>
      <c r="C537" s="10"/>
      <c r="D537" s="10"/>
      <c r="E537" s="10"/>
      <c r="F537" s="10"/>
      <c r="G537" s="10"/>
      <c r="H537" s="10"/>
      <c r="I537" s="10"/>
      <c r="M537" s="10"/>
      <c r="O537" s="10"/>
    </row>
    <row r="538">
      <c r="B538" s="10"/>
      <c r="C538" s="10"/>
      <c r="D538" s="10"/>
      <c r="E538" s="10"/>
      <c r="F538" s="10"/>
      <c r="G538" s="10"/>
      <c r="H538" s="10"/>
      <c r="I538" s="10"/>
      <c r="M538" s="10"/>
      <c r="O538" s="10"/>
    </row>
    <row r="539">
      <c r="B539" s="10"/>
      <c r="C539" s="10"/>
      <c r="D539" s="10"/>
      <c r="E539" s="10"/>
      <c r="F539" s="10"/>
      <c r="G539" s="10"/>
      <c r="H539" s="10"/>
      <c r="I539" s="10"/>
      <c r="M539" s="10"/>
      <c r="O539" s="10"/>
    </row>
    <row r="540">
      <c r="B540" s="10"/>
      <c r="C540" s="10"/>
      <c r="D540" s="10"/>
      <c r="E540" s="10"/>
      <c r="F540" s="10"/>
      <c r="G540" s="10"/>
      <c r="H540" s="10"/>
      <c r="I540" s="10"/>
      <c r="M540" s="10"/>
      <c r="O540" s="10"/>
    </row>
    <row r="541">
      <c r="B541" s="10"/>
      <c r="C541" s="10"/>
      <c r="D541" s="10"/>
      <c r="E541" s="10"/>
      <c r="F541" s="10"/>
      <c r="G541" s="10"/>
      <c r="H541" s="10"/>
      <c r="I541" s="10"/>
      <c r="M541" s="10"/>
      <c r="O541" s="10"/>
    </row>
    <row r="542">
      <c r="B542" s="10"/>
      <c r="C542" s="10"/>
      <c r="D542" s="10"/>
      <c r="E542" s="10"/>
      <c r="F542" s="10"/>
      <c r="G542" s="10"/>
      <c r="H542" s="10"/>
      <c r="I542" s="10"/>
      <c r="M542" s="10"/>
      <c r="O542" s="10"/>
    </row>
    <row r="543">
      <c r="B543" s="10"/>
      <c r="C543" s="10"/>
      <c r="D543" s="10"/>
      <c r="E543" s="10"/>
      <c r="F543" s="10"/>
      <c r="G543" s="10"/>
      <c r="H543" s="10"/>
      <c r="I543" s="10"/>
      <c r="M543" s="10"/>
      <c r="O543" s="10"/>
    </row>
    <row r="544">
      <c r="B544" s="10"/>
      <c r="C544" s="10"/>
      <c r="D544" s="10"/>
      <c r="E544" s="10"/>
      <c r="F544" s="10"/>
      <c r="G544" s="10"/>
      <c r="H544" s="10"/>
      <c r="I544" s="10"/>
      <c r="M544" s="10"/>
      <c r="O544" s="10"/>
    </row>
    <row r="545">
      <c r="B545" s="10"/>
      <c r="C545" s="10"/>
      <c r="D545" s="10"/>
      <c r="E545" s="10"/>
      <c r="F545" s="10"/>
      <c r="G545" s="10"/>
      <c r="H545" s="10"/>
      <c r="I545" s="10"/>
      <c r="M545" s="10"/>
      <c r="O545" s="10"/>
    </row>
    <row r="546">
      <c r="B546" s="10"/>
      <c r="C546" s="10"/>
      <c r="D546" s="10"/>
      <c r="E546" s="10"/>
      <c r="F546" s="10"/>
      <c r="G546" s="10"/>
      <c r="H546" s="10"/>
      <c r="I546" s="10"/>
      <c r="M546" s="10"/>
      <c r="O546" s="10"/>
    </row>
    <row r="547">
      <c r="B547" s="10"/>
      <c r="C547" s="10"/>
      <c r="D547" s="10"/>
      <c r="E547" s="10"/>
      <c r="F547" s="10"/>
      <c r="G547" s="10"/>
      <c r="H547" s="10"/>
      <c r="I547" s="10"/>
      <c r="M547" s="10"/>
      <c r="O547" s="10"/>
    </row>
    <row r="548">
      <c r="B548" s="10"/>
      <c r="C548" s="10"/>
      <c r="D548" s="10"/>
      <c r="E548" s="10"/>
      <c r="F548" s="10"/>
      <c r="G548" s="10"/>
      <c r="H548" s="10"/>
      <c r="I548" s="10"/>
      <c r="M548" s="10"/>
      <c r="O548" s="10"/>
    </row>
    <row r="549">
      <c r="B549" s="10"/>
      <c r="C549" s="10"/>
      <c r="D549" s="10"/>
      <c r="E549" s="10"/>
      <c r="F549" s="10"/>
      <c r="G549" s="10"/>
      <c r="H549" s="10"/>
      <c r="I549" s="10"/>
      <c r="M549" s="10"/>
      <c r="O549" s="10"/>
    </row>
    <row r="550">
      <c r="B550" s="10"/>
      <c r="C550" s="10"/>
      <c r="D550" s="10"/>
      <c r="E550" s="10"/>
      <c r="F550" s="10"/>
      <c r="G550" s="10"/>
      <c r="H550" s="10"/>
      <c r="I550" s="10"/>
      <c r="M550" s="10"/>
      <c r="O550" s="10"/>
    </row>
    <row r="551">
      <c r="B551" s="10"/>
      <c r="C551" s="10"/>
      <c r="D551" s="10"/>
      <c r="E551" s="10"/>
      <c r="F551" s="10"/>
      <c r="G551" s="10"/>
      <c r="H551" s="10"/>
      <c r="I551" s="10"/>
      <c r="M551" s="10"/>
      <c r="O551" s="10"/>
    </row>
    <row r="552">
      <c r="B552" s="10"/>
      <c r="C552" s="10"/>
      <c r="D552" s="10"/>
      <c r="E552" s="10"/>
      <c r="F552" s="10"/>
      <c r="G552" s="10"/>
      <c r="H552" s="10"/>
      <c r="I552" s="10"/>
      <c r="M552" s="10"/>
      <c r="O552" s="10"/>
    </row>
    <row r="553">
      <c r="B553" s="10"/>
      <c r="C553" s="10"/>
      <c r="D553" s="10"/>
      <c r="E553" s="10"/>
      <c r="F553" s="10"/>
      <c r="G553" s="10"/>
      <c r="H553" s="10"/>
      <c r="I553" s="10"/>
      <c r="M553" s="10"/>
      <c r="O553" s="10"/>
    </row>
    <row r="554">
      <c r="B554" s="10"/>
      <c r="C554" s="10"/>
      <c r="D554" s="10"/>
      <c r="E554" s="10"/>
      <c r="F554" s="10"/>
      <c r="G554" s="10"/>
      <c r="H554" s="10"/>
      <c r="I554" s="10"/>
      <c r="M554" s="10"/>
      <c r="O554" s="10"/>
    </row>
    <row r="555">
      <c r="B555" s="10"/>
      <c r="C555" s="10"/>
      <c r="D555" s="10"/>
      <c r="E555" s="10"/>
      <c r="F555" s="10"/>
      <c r="G555" s="10"/>
      <c r="H555" s="10"/>
      <c r="I555" s="10"/>
      <c r="M555" s="10"/>
      <c r="O555" s="10"/>
    </row>
    <row r="556">
      <c r="B556" s="10"/>
      <c r="C556" s="10"/>
      <c r="D556" s="10"/>
      <c r="E556" s="10"/>
      <c r="F556" s="10"/>
      <c r="G556" s="10"/>
      <c r="H556" s="10"/>
      <c r="I556" s="10"/>
      <c r="M556" s="10"/>
      <c r="O556" s="10"/>
    </row>
    <row r="557">
      <c r="B557" s="10"/>
      <c r="C557" s="10"/>
      <c r="D557" s="10"/>
      <c r="E557" s="10"/>
      <c r="F557" s="10"/>
      <c r="G557" s="10"/>
      <c r="H557" s="10"/>
      <c r="I557" s="10"/>
      <c r="M557" s="10"/>
      <c r="O557" s="10"/>
    </row>
    <row r="558">
      <c r="B558" s="10"/>
      <c r="C558" s="10"/>
      <c r="D558" s="10"/>
      <c r="E558" s="10"/>
      <c r="F558" s="10"/>
      <c r="G558" s="10"/>
      <c r="H558" s="10"/>
      <c r="I558" s="10"/>
      <c r="M558" s="10"/>
      <c r="O558" s="10"/>
    </row>
    <row r="559">
      <c r="B559" s="10"/>
      <c r="C559" s="10"/>
      <c r="D559" s="10"/>
      <c r="E559" s="10"/>
      <c r="F559" s="10"/>
      <c r="G559" s="10"/>
      <c r="H559" s="10"/>
      <c r="I559" s="10"/>
      <c r="M559" s="10"/>
      <c r="O559" s="10"/>
    </row>
    <row r="560">
      <c r="B560" s="10"/>
      <c r="C560" s="10"/>
      <c r="D560" s="10"/>
      <c r="E560" s="10"/>
      <c r="F560" s="10"/>
      <c r="G560" s="10"/>
      <c r="H560" s="10"/>
      <c r="I560" s="10"/>
      <c r="M560" s="10"/>
      <c r="O560" s="10"/>
    </row>
    <row r="561">
      <c r="B561" s="10"/>
      <c r="C561" s="10"/>
      <c r="D561" s="10"/>
      <c r="E561" s="10"/>
      <c r="F561" s="10"/>
      <c r="G561" s="10"/>
      <c r="H561" s="10"/>
      <c r="I561" s="10"/>
      <c r="M561" s="10"/>
      <c r="O561" s="10"/>
    </row>
    <row r="562">
      <c r="B562" s="10"/>
      <c r="C562" s="10"/>
      <c r="D562" s="10"/>
      <c r="E562" s="10"/>
      <c r="F562" s="10"/>
      <c r="G562" s="10"/>
      <c r="H562" s="10"/>
      <c r="I562" s="10"/>
      <c r="M562" s="10"/>
      <c r="O562" s="10"/>
    </row>
    <row r="563">
      <c r="B563" s="10"/>
      <c r="C563" s="10"/>
      <c r="D563" s="10"/>
      <c r="E563" s="10"/>
      <c r="F563" s="10"/>
      <c r="G563" s="10"/>
      <c r="H563" s="10"/>
      <c r="I563" s="10"/>
      <c r="M563" s="10"/>
      <c r="O563" s="10"/>
    </row>
    <row r="564">
      <c r="B564" s="10"/>
      <c r="C564" s="10"/>
      <c r="D564" s="10"/>
      <c r="E564" s="10"/>
      <c r="F564" s="10"/>
      <c r="G564" s="10"/>
      <c r="H564" s="10"/>
      <c r="I564" s="10"/>
      <c r="M564" s="10"/>
      <c r="O564" s="10"/>
    </row>
    <row r="565">
      <c r="B565" s="10"/>
      <c r="C565" s="10"/>
      <c r="D565" s="10"/>
      <c r="E565" s="10"/>
      <c r="F565" s="10"/>
      <c r="G565" s="10"/>
      <c r="H565" s="10"/>
      <c r="I565" s="10"/>
      <c r="M565" s="10"/>
      <c r="O565" s="10"/>
    </row>
    <row r="566">
      <c r="B566" s="10"/>
      <c r="C566" s="10"/>
      <c r="D566" s="10"/>
      <c r="E566" s="10"/>
      <c r="F566" s="10"/>
      <c r="G566" s="10"/>
      <c r="H566" s="10"/>
      <c r="I566" s="10"/>
      <c r="M566" s="10"/>
      <c r="O566" s="10"/>
    </row>
    <row r="567">
      <c r="B567" s="10"/>
      <c r="C567" s="10"/>
      <c r="D567" s="10"/>
      <c r="E567" s="10"/>
      <c r="F567" s="10"/>
      <c r="G567" s="10"/>
      <c r="H567" s="10"/>
      <c r="I567" s="10"/>
      <c r="M567" s="10"/>
      <c r="O567" s="10"/>
    </row>
    <row r="568">
      <c r="B568" s="10"/>
      <c r="C568" s="10"/>
      <c r="D568" s="10"/>
      <c r="E568" s="10"/>
      <c r="F568" s="10"/>
      <c r="G568" s="10"/>
      <c r="H568" s="10"/>
      <c r="I568" s="10"/>
      <c r="M568" s="10"/>
      <c r="O568" s="10"/>
    </row>
    <row r="569">
      <c r="B569" s="10"/>
      <c r="C569" s="10"/>
      <c r="D569" s="10"/>
      <c r="E569" s="10"/>
      <c r="F569" s="10"/>
      <c r="G569" s="10"/>
      <c r="H569" s="10"/>
      <c r="I569" s="10"/>
      <c r="M569" s="10"/>
      <c r="O569" s="10"/>
    </row>
    <row r="570">
      <c r="B570" s="10"/>
      <c r="C570" s="10"/>
      <c r="D570" s="10"/>
      <c r="E570" s="10"/>
      <c r="F570" s="10"/>
      <c r="G570" s="10"/>
      <c r="H570" s="10"/>
      <c r="I570" s="10"/>
      <c r="M570" s="10"/>
      <c r="O570" s="10"/>
    </row>
    <row r="571">
      <c r="B571" s="10"/>
      <c r="C571" s="10"/>
      <c r="D571" s="10"/>
      <c r="E571" s="10"/>
      <c r="F571" s="10"/>
      <c r="G571" s="10"/>
      <c r="H571" s="10"/>
      <c r="I571" s="10"/>
      <c r="M571" s="10"/>
      <c r="O571" s="10"/>
    </row>
    <row r="572">
      <c r="B572" s="10"/>
      <c r="C572" s="10"/>
      <c r="D572" s="10"/>
      <c r="E572" s="10"/>
      <c r="F572" s="10"/>
      <c r="G572" s="10"/>
      <c r="H572" s="10"/>
      <c r="I572" s="10"/>
      <c r="M572" s="10"/>
      <c r="O572" s="10"/>
    </row>
    <row r="573">
      <c r="B573" s="10"/>
      <c r="C573" s="10"/>
      <c r="D573" s="10"/>
      <c r="E573" s="10"/>
      <c r="F573" s="10"/>
      <c r="G573" s="10"/>
      <c r="H573" s="10"/>
      <c r="I573" s="10"/>
      <c r="M573" s="10"/>
      <c r="O573" s="10"/>
    </row>
    <row r="574">
      <c r="B574" s="10"/>
      <c r="C574" s="10"/>
      <c r="D574" s="10"/>
      <c r="E574" s="10"/>
      <c r="F574" s="10"/>
      <c r="G574" s="10"/>
      <c r="H574" s="10"/>
      <c r="I574" s="10"/>
      <c r="M574" s="10"/>
      <c r="O574" s="10"/>
    </row>
    <row r="575">
      <c r="B575" s="10"/>
      <c r="C575" s="10"/>
      <c r="D575" s="10"/>
      <c r="E575" s="10"/>
      <c r="F575" s="10"/>
      <c r="G575" s="10"/>
      <c r="H575" s="10"/>
      <c r="I575" s="10"/>
      <c r="M575" s="10"/>
      <c r="O575" s="10"/>
    </row>
    <row r="576">
      <c r="B576" s="10"/>
      <c r="C576" s="10"/>
      <c r="D576" s="10"/>
      <c r="E576" s="10"/>
      <c r="F576" s="10"/>
      <c r="G576" s="10"/>
      <c r="H576" s="10"/>
      <c r="I576" s="10"/>
      <c r="M576" s="10"/>
      <c r="O576" s="10"/>
    </row>
    <row r="577">
      <c r="B577" s="10"/>
      <c r="C577" s="10"/>
      <c r="D577" s="10"/>
      <c r="E577" s="10"/>
      <c r="F577" s="10"/>
      <c r="G577" s="10"/>
      <c r="H577" s="10"/>
      <c r="I577" s="10"/>
      <c r="M577" s="10"/>
      <c r="O577" s="10"/>
    </row>
    <row r="578">
      <c r="B578" s="10"/>
      <c r="C578" s="10"/>
      <c r="D578" s="10"/>
      <c r="E578" s="10"/>
      <c r="F578" s="10"/>
      <c r="G578" s="10"/>
      <c r="H578" s="10"/>
      <c r="I578" s="10"/>
      <c r="M578" s="10"/>
      <c r="O578" s="10"/>
    </row>
    <row r="579">
      <c r="B579" s="10"/>
      <c r="C579" s="10"/>
      <c r="D579" s="10"/>
      <c r="E579" s="10"/>
      <c r="F579" s="10"/>
      <c r="G579" s="10"/>
      <c r="H579" s="10"/>
      <c r="I579" s="10"/>
      <c r="M579" s="10"/>
      <c r="O579" s="10"/>
    </row>
    <row r="580">
      <c r="B580" s="10"/>
      <c r="C580" s="10"/>
      <c r="D580" s="10"/>
      <c r="E580" s="10"/>
      <c r="F580" s="10"/>
      <c r="G580" s="10"/>
      <c r="H580" s="10"/>
      <c r="I580" s="10"/>
      <c r="M580" s="10"/>
      <c r="O580" s="10"/>
    </row>
    <row r="581">
      <c r="B581" s="10"/>
      <c r="C581" s="10"/>
      <c r="D581" s="10"/>
      <c r="E581" s="10"/>
      <c r="F581" s="10"/>
      <c r="G581" s="10"/>
      <c r="H581" s="10"/>
      <c r="I581" s="10"/>
      <c r="M581" s="10"/>
      <c r="O581" s="10"/>
    </row>
    <row r="582">
      <c r="B582" s="10"/>
      <c r="C582" s="10"/>
      <c r="D582" s="10"/>
      <c r="E582" s="10"/>
      <c r="F582" s="10"/>
      <c r="G582" s="10"/>
      <c r="H582" s="10"/>
      <c r="I582" s="10"/>
      <c r="M582" s="10"/>
      <c r="O582" s="10"/>
    </row>
    <row r="583">
      <c r="B583" s="10"/>
      <c r="C583" s="10"/>
      <c r="D583" s="10"/>
      <c r="E583" s="10"/>
      <c r="F583" s="10"/>
      <c r="G583" s="10"/>
      <c r="H583" s="10"/>
      <c r="I583" s="10"/>
      <c r="M583" s="10"/>
      <c r="O583" s="10"/>
    </row>
    <row r="584">
      <c r="B584" s="10"/>
      <c r="C584" s="10"/>
      <c r="D584" s="10"/>
      <c r="E584" s="10"/>
      <c r="F584" s="10"/>
      <c r="G584" s="10"/>
      <c r="H584" s="10"/>
      <c r="I584" s="10"/>
      <c r="M584" s="10"/>
      <c r="O584" s="10"/>
    </row>
    <row r="585">
      <c r="B585" s="10"/>
      <c r="C585" s="10"/>
      <c r="D585" s="10"/>
      <c r="E585" s="10"/>
      <c r="F585" s="10"/>
      <c r="G585" s="10"/>
      <c r="H585" s="10"/>
      <c r="I585" s="10"/>
      <c r="M585" s="10"/>
      <c r="O585" s="10"/>
    </row>
    <row r="586">
      <c r="B586" s="10"/>
      <c r="C586" s="10"/>
      <c r="D586" s="10"/>
      <c r="E586" s="10"/>
      <c r="F586" s="10"/>
      <c r="G586" s="10"/>
      <c r="H586" s="10"/>
      <c r="I586" s="10"/>
      <c r="M586" s="10"/>
      <c r="O586" s="10"/>
    </row>
    <row r="587">
      <c r="B587" s="10"/>
      <c r="C587" s="10"/>
      <c r="D587" s="10"/>
      <c r="E587" s="10"/>
      <c r="F587" s="10"/>
      <c r="G587" s="10"/>
      <c r="H587" s="10"/>
      <c r="I587" s="10"/>
      <c r="M587" s="10"/>
      <c r="O587" s="10"/>
    </row>
    <row r="588">
      <c r="B588" s="10"/>
      <c r="C588" s="10"/>
      <c r="D588" s="10"/>
      <c r="E588" s="10"/>
      <c r="F588" s="10"/>
      <c r="G588" s="10"/>
      <c r="H588" s="10"/>
      <c r="I588" s="10"/>
      <c r="M588" s="10"/>
      <c r="O588" s="10"/>
    </row>
    <row r="589">
      <c r="B589" s="10"/>
      <c r="C589" s="10"/>
      <c r="D589" s="10"/>
      <c r="E589" s="10"/>
      <c r="F589" s="10"/>
      <c r="G589" s="10"/>
      <c r="H589" s="10"/>
      <c r="I589" s="10"/>
      <c r="M589" s="10"/>
      <c r="O589" s="10"/>
    </row>
    <row r="590">
      <c r="B590" s="10"/>
      <c r="C590" s="10"/>
      <c r="D590" s="10"/>
      <c r="E590" s="10"/>
      <c r="F590" s="10"/>
      <c r="G590" s="10"/>
      <c r="H590" s="10"/>
      <c r="I590" s="10"/>
      <c r="M590" s="10"/>
      <c r="O590" s="10"/>
    </row>
    <row r="591">
      <c r="B591" s="10"/>
      <c r="C591" s="10"/>
      <c r="D591" s="10"/>
      <c r="E591" s="10"/>
      <c r="F591" s="10"/>
      <c r="G591" s="10"/>
      <c r="H591" s="10"/>
      <c r="I591" s="10"/>
      <c r="M591" s="10"/>
      <c r="O591" s="10"/>
    </row>
    <row r="592">
      <c r="B592" s="10"/>
      <c r="C592" s="10"/>
      <c r="D592" s="10"/>
      <c r="E592" s="10"/>
      <c r="F592" s="10"/>
      <c r="G592" s="10"/>
      <c r="H592" s="10"/>
      <c r="I592" s="10"/>
      <c r="M592" s="10"/>
      <c r="O592" s="10"/>
    </row>
    <row r="593">
      <c r="B593" s="10"/>
      <c r="C593" s="10"/>
      <c r="D593" s="10"/>
      <c r="E593" s="10"/>
      <c r="F593" s="10"/>
      <c r="G593" s="10"/>
      <c r="H593" s="10"/>
      <c r="I593" s="10"/>
      <c r="M593" s="10"/>
      <c r="O593" s="10"/>
    </row>
    <row r="594">
      <c r="B594" s="10"/>
      <c r="C594" s="10"/>
      <c r="D594" s="10"/>
      <c r="E594" s="10"/>
      <c r="F594" s="10"/>
      <c r="G594" s="10"/>
      <c r="H594" s="10"/>
      <c r="I594" s="10"/>
      <c r="M594" s="10"/>
      <c r="O594" s="10"/>
    </row>
    <row r="595">
      <c r="B595" s="10"/>
      <c r="C595" s="10"/>
      <c r="D595" s="10"/>
      <c r="E595" s="10"/>
      <c r="F595" s="10"/>
      <c r="G595" s="10"/>
      <c r="H595" s="10"/>
      <c r="I595" s="10"/>
      <c r="M595" s="10"/>
      <c r="O595" s="10"/>
    </row>
    <row r="596">
      <c r="B596" s="10"/>
      <c r="C596" s="10"/>
      <c r="D596" s="10"/>
      <c r="E596" s="10"/>
      <c r="F596" s="10"/>
      <c r="G596" s="10"/>
      <c r="H596" s="10"/>
      <c r="I596" s="10"/>
      <c r="M596" s="10"/>
      <c r="O596" s="10"/>
    </row>
    <row r="597">
      <c r="B597" s="10"/>
      <c r="C597" s="10"/>
      <c r="D597" s="10"/>
      <c r="E597" s="10"/>
      <c r="F597" s="10"/>
      <c r="G597" s="10"/>
      <c r="H597" s="10"/>
      <c r="I597" s="10"/>
      <c r="M597" s="10"/>
      <c r="O597" s="10"/>
    </row>
    <row r="598">
      <c r="B598" s="10"/>
      <c r="C598" s="10"/>
      <c r="D598" s="10"/>
      <c r="E598" s="10"/>
      <c r="F598" s="10"/>
      <c r="G598" s="10"/>
      <c r="H598" s="10"/>
      <c r="I598" s="10"/>
      <c r="M598" s="10"/>
      <c r="O598" s="10"/>
    </row>
    <row r="599">
      <c r="B599" s="10"/>
      <c r="C599" s="10"/>
      <c r="D599" s="10"/>
      <c r="E599" s="10"/>
      <c r="F599" s="10"/>
      <c r="G599" s="10"/>
      <c r="H599" s="10"/>
      <c r="I599" s="10"/>
      <c r="M599" s="10"/>
      <c r="O599" s="10"/>
    </row>
    <row r="600">
      <c r="B600" s="10"/>
      <c r="C600" s="10"/>
      <c r="D600" s="10"/>
      <c r="E600" s="10"/>
      <c r="F600" s="10"/>
      <c r="G600" s="10"/>
      <c r="H600" s="10"/>
      <c r="I600" s="10"/>
      <c r="M600" s="10"/>
      <c r="O600" s="10"/>
    </row>
    <row r="601">
      <c r="B601" s="10"/>
      <c r="C601" s="10"/>
      <c r="D601" s="10"/>
      <c r="E601" s="10"/>
      <c r="F601" s="10"/>
      <c r="G601" s="10"/>
      <c r="H601" s="10"/>
      <c r="I601" s="10"/>
      <c r="M601" s="10"/>
      <c r="O601" s="10"/>
    </row>
    <row r="602">
      <c r="B602" s="10"/>
      <c r="C602" s="10"/>
      <c r="D602" s="10"/>
      <c r="E602" s="10"/>
      <c r="F602" s="10"/>
      <c r="G602" s="10"/>
      <c r="H602" s="10"/>
      <c r="I602" s="10"/>
      <c r="M602" s="10"/>
      <c r="O602" s="10"/>
    </row>
    <row r="603">
      <c r="B603" s="10"/>
      <c r="C603" s="10"/>
      <c r="D603" s="10"/>
      <c r="E603" s="10"/>
      <c r="F603" s="10"/>
      <c r="G603" s="10"/>
      <c r="H603" s="10"/>
      <c r="I603" s="10"/>
      <c r="M603" s="10"/>
      <c r="O603" s="10"/>
    </row>
    <row r="604">
      <c r="B604" s="10"/>
      <c r="C604" s="10"/>
      <c r="D604" s="10"/>
      <c r="E604" s="10"/>
      <c r="F604" s="10"/>
      <c r="G604" s="10"/>
      <c r="H604" s="10"/>
      <c r="I604" s="10"/>
      <c r="M604" s="10"/>
      <c r="O604" s="10"/>
    </row>
    <row r="605">
      <c r="B605" s="10"/>
      <c r="C605" s="10"/>
      <c r="D605" s="10"/>
      <c r="E605" s="10"/>
      <c r="F605" s="10"/>
      <c r="G605" s="10"/>
      <c r="H605" s="10"/>
      <c r="I605" s="10"/>
      <c r="M605" s="10"/>
      <c r="O605" s="10"/>
    </row>
    <row r="606">
      <c r="B606" s="10"/>
      <c r="C606" s="10"/>
      <c r="D606" s="10"/>
      <c r="E606" s="10"/>
      <c r="F606" s="10"/>
      <c r="G606" s="10"/>
      <c r="H606" s="10"/>
      <c r="I606" s="10"/>
      <c r="M606" s="10"/>
      <c r="O606" s="10"/>
    </row>
    <row r="607">
      <c r="B607" s="10"/>
      <c r="C607" s="10"/>
      <c r="D607" s="10"/>
      <c r="E607" s="10"/>
      <c r="F607" s="10"/>
      <c r="G607" s="10"/>
      <c r="H607" s="10"/>
      <c r="I607" s="10"/>
      <c r="M607" s="10"/>
      <c r="O607" s="10"/>
    </row>
    <row r="608">
      <c r="B608" s="10"/>
      <c r="C608" s="10"/>
      <c r="D608" s="10"/>
      <c r="E608" s="10"/>
      <c r="F608" s="10"/>
      <c r="G608" s="10"/>
      <c r="H608" s="10"/>
      <c r="I608" s="10"/>
      <c r="M608" s="10"/>
      <c r="O608" s="10"/>
    </row>
    <row r="609">
      <c r="B609" s="10"/>
      <c r="C609" s="10"/>
      <c r="D609" s="10"/>
      <c r="E609" s="10"/>
      <c r="F609" s="10"/>
      <c r="G609" s="10"/>
      <c r="H609" s="10"/>
      <c r="I609" s="10"/>
      <c r="M609" s="10"/>
      <c r="O609" s="10"/>
    </row>
    <row r="610">
      <c r="B610" s="10"/>
      <c r="C610" s="10"/>
      <c r="D610" s="10"/>
      <c r="E610" s="10"/>
      <c r="F610" s="10"/>
      <c r="G610" s="10"/>
      <c r="H610" s="10"/>
      <c r="I610" s="10"/>
      <c r="M610" s="10"/>
      <c r="O610" s="10"/>
    </row>
    <row r="611">
      <c r="B611" s="10"/>
      <c r="C611" s="10"/>
      <c r="D611" s="10"/>
      <c r="E611" s="10"/>
      <c r="F611" s="10"/>
      <c r="G611" s="10"/>
      <c r="H611" s="10"/>
      <c r="I611" s="10"/>
      <c r="M611" s="10"/>
      <c r="O611" s="10"/>
    </row>
    <row r="612">
      <c r="B612" s="10"/>
      <c r="C612" s="10"/>
      <c r="D612" s="10"/>
      <c r="E612" s="10"/>
      <c r="F612" s="10"/>
      <c r="G612" s="10"/>
      <c r="H612" s="10"/>
      <c r="I612" s="10"/>
      <c r="M612" s="10"/>
      <c r="O612" s="10"/>
    </row>
    <row r="613">
      <c r="B613" s="10"/>
      <c r="C613" s="10"/>
      <c r="D613" s="10"/>
      <c r="E613" s="10"/>
      <c r="F613" s="10"/>
      <c r="G613" s="10"/>
      <c r="H613" s="10"/>
      <c r="I613" s="10"/>
      <c r="M613" s="10"/>
      <c r="O613" s="10"/>
    </row>
    <row r="614">
      <c r="B614" s="10"/>
      <c r="C614" s="10"/>
      <c r="D614" s="10"/>
      <c r="E614" s="10"/>
      <c r="F614" s="10"/>
      <c r="G614" s="10"/>
      <c r="H614" s="10"/>
      <c r="I614" s="10"/>
      <c r="M614" s="10"/>
      <c r="O614" s="10"/>
    </row>
    <row r="615">
      <c r="B615" s="10"/>
      <c r="C615" s="10"/>
      <c r="D615" s="10"/>
      <c r="E615" s="10"/>
      <c r="F615" s="10"/>
      <c r="G615" s="10"/>
      <c r="H615" s="10"/>
      <c r="I615" s="10"/>
      <c r="M615" s="10"/>
      <c r="O615" s="10"/>
    </row>
    <row r="616">
      <c r="B616" s="10"/>
      <c r="C616" s="10"/>
      <c r="D616" s="10"/>
      <c r="E616" s="10"/>
      <c r="F616" s="10"/>
      <c r="G616" s="10"/>
      <c r="H616" s="10"/>
      <c r="I616" s="10"/>
      <c r="M616" s="10"/>
      <c r="O616" s="10"/>
    </row>
    <row r="617">
      <c r="B617" s="10"/>
      <c r="C617" s="10"/>
      <c r="D617" s="10"/>
      <c r="E617" s="10"/>
      <c r="F617" s="10"/>
      <c r="G617" s="10"/>
      <c r="H617" s="10"/>
      <c r="I617" s="10"/>
      <c r="M617" s="10"/>
      <c r="O617" s="10"/>
    </row>
    <row r="618">
      <c r="B618" s="10"/>
      <c r="C618" s="10"/>
      <c r="D618" s="10"/>
      <c r="E618" s="10"/>
      <c r="F618" s="10"/>
      <c r="G618" s="10"/>
      <c r="H618" s="10"/>
      <c r="I618" s="10"/>
      <c r="M618" s="10"/>
      <c r="O618" s="10"/>
    </row>
    <row r="619">
      <c r="B619" s="10"/>
      <c r="C619" s="10"/>
      <c r="D619" s="10"/>
      <c r="E619" s="10"/>
      <c r="F619" s="10"/>
      <c r="G619" s="10"/>
      <c r="H619" s="10"/>
      <c r="I619" s="10"/>
      <c r="M619" s="10"/>
      <c r="O619" s="10"/>
    </row>
    <row r="620">
      <c r="B620" s="10"/>
      <c r="C620" s="10"/>
      <c r="D620" s="10"/>
      <c r="E620" s="10"/>
      <c r="F620" s="10"/>
      <c r="G620" s="10"/>
      <c r="H620" s="10"/>
      <c r="I620" s="10"/>
      <c r="M620" s="10"/>
      <c r="O620" s="10"/>
    </row>
    <row r="621">
      <c r="B621" s="10"/>
      <c r="C621" s="10"/>
      <c r="D621" s="10"/>
      <c r="E621" s="10"/>
      <c r="F621" s="10"/>
      <c r="G621" s="10"/>
      <c r="H621" s="10"/>
      <c r="I621" s="10"/>
      <c r="M621" s="10"/>
      <c r="O621" s="10"/>
    </row>
    <row r="622">
      <c r="B622" s="10"/>
      <c r="C622" s="10"/>
      <c r="D622" s="10"/>
      <c r="E622" s="10"/>
      <c r="F622" s="10"/>
      <c r="G622" s="10"/>
      <c r="H622" s="10"/>
      <c r="I622" s="10"/>
      <c r="M622" s="10"/>
      <c r="O622" s="10"/>
    </row>
    <row r="623">
      <c r="B623" s="10"/>
      <c r="C623" s="10"/>
      <c r="D623" s="10"/>
      <c r="E623" s="10"/>
      <c r="F623" s="10"/>
      <c r="G623" s="10"/>
      <c r="H623" s="10"/>
      <c r="I623" s="10"/>
      <c r="M623" s="10"/>
      <c r="O623" s="10"/>
    </row>
    <row r="624">
      <c r="B624" s="10"/>
      <c r="C624" s="10"/>
      <c r="D624" s="10"/>
      <c r="E624" s="10"/>
      <c r="F624" s="10"/>
      <c r="G624" s="10"/>
      <c r="H624" s="10"/>
      <c r="I624" s="10"/>
      <c r="M624" s="10"/>
      <c r="O624" s="10"/>
    </row>
    <row r="625">
      <c r="B625" s="10"/>
      <c r="C625" s="10"/>
      <c r="D625" s="10"/>
      <c r="E625" s="10"/>
      <c r="F625" s="10"/>
      <c r="G625" s="10"/>
      <c r="H625" s="10"/>
      <c r="I625" s="10"/>
      <c r="M625" s="10"/>
      <c r="O625" s="10"/>
    </row>
    <row r="626">
      <c r="B626" s="10"/>
      <c r="C626" s="10"/>
      <c r="D626" s="10"/>
      <c r="E626" s="10"/>
      <c r="F626" s="10"/>
      <c r="G626" s="10"/>
      <c r="H626" s="10"/>
      <c r="I626" s="10"/>
      <c r="M626" s="10"/>
      <c r="O626" s="10"/>
    </row>
    <row r="627">
      <c r="B627" s="10"/>
      <c r="C627" s="10"/>
      <c r="D627" s="10"/>
      <c r="E627" s="10"/>
      <c r="F627" s="10"/>
      <c r="G627" s="10"/>
      <c r="H627" s="10"/>
      <c r="I627" s="10"/>
      <c r="M627" s="10"/>
      <c r="O627" s="10"/>
    </row>
    <row r="628">
      <c r="B628" s="10"/>
      <c r="C628" s="10"/>
      <c r="D628" s="10"/>
      <c r="E628" s="10"/>
      <c r="F628" s="10"/>
      <c r="G628" s="10"/>
      <c r="H628" s="10"/>
      <c r="I628" s="10"/>
      <c r="M628" s="10"/>
      <c r="O628" s="10"/>
    </row>
    <row r="629">
      <c r="B629" s="10"/>
      <c r="C629" s="10"/>
      <c r="D629" s="10"/>
      <c r="E629" s="10"/>
      <c r="F629" s="10"/>
      <c r="G629" s="10"/>
      <c r="H629" s="10"/>
      <c r="I629" s="10"/>
      <c r="M629" s="10"/>
      <c r="O629" s="10"/>
    </row>
    <row r="630">
      <c r="B630" s="10"/>
      <c r="C630" s="10"/>
      <c r="D630" s="10"/>
      <c r="E630" s="10"/>
      <c r="F630" s="10"/>
      <c r="G630" s="10"/>
      <c r="H630" s="10"/>
      <c r="I630" s="10"/>
      <c r="M630" s="10"/>
      <c r="O630" s="10"/>
    </row>
    <row r="631">
      <c r="B631" s="10"/>
      <c r="C631" s="10"/>
      <c r="D631" s="10"/>
      <c r="E631" s="10"/>
      <c r="F631" s="10"/>
      <c r="G631" s="10"/>
      <c r="H631" s="10"/>
      <c r="I631" s="10"/>
      <c r="M631" s="10"/>
      <c r="O631" s="10"/>
    </row>
    <row r="632">
      <c r="B632" s="10"/>
      <c r="C632" s="10"/>
      <c r="D632" s="10"/>
      <c r="E632" s="10"/>
      <c r="F632" s="10"/>
      <c r="G632" s="10"/>
      <c r="H632" s="10"/>
      <c r="I632" s="10"/>
      <c r="M632" s="10"/>
      <c r="O632" s="10"/>
    </row>
    <row r="633">
      <c r="B633" s="10"/>
      <c r="C633" s="10"/>
      <c r="D633" s="10"/>
      <c r="E633" s="10"/>
      <c r="F633" s="10"/>
      <c r="G633" s="10"/>
      <c r="H633" s="10"/>
      <c r="I633" s="10"/>
      <c r="M633" s="10"/>
      <c r="O633" s="10"/>
    </row>
    <row r="634">
      <c r="B634" s="10"/>
      <c r="C634" s="10"/>
      <c r="D634" s="10"/>
      <c r="E634" s="10"/>
      <c r="F634" s="10"/>
      <c r="G634" s="10"/>
      <c r="H634" s="10"/>
      <c r="I634" s="10"/>
      <c r="M634" s="10"/>
      <c r="O634" s="10"/>
    </row>
    <row r="635">
      <c r="B635" s="10"/>
      <c r="C635" s="10"/>
      <c r="D635" s="10"/>
      <c r="E635" s="10"/>
      <c r="F635" s="10"/>
      <c r="G635" s="10"/>
      <c r="H635" s="10"/>
      <c r="I635" s="10"/>
      <c r="M635" s="10"/>
      <c r="O635" s="10"/>
    </row>
    <row r="636">
      <c r="B636" s="10"/>
      <c r="C636" s="10"/>
      <c r="D636" s="10"/>
      <c r="E636" s="10"/>
      <c r="F636" s="10"/>
      <c r="G636" s="10"/>
      <c r="H636" s="10"/>
      <c r="I636" s="10"/>
      <c r="M636" s="10"/>
      <c r="O636" s="10"/>
    </row>
    <row r="637">
      <c r="B637" s="10"/>
      <c r="C637" s="10"/>
      <c r="D637" s="10"/>
      <c r="E637" s="10"/>
      <c r="F637" s="10"/>
      <c r="G637" s="10"/>
      <c r="H637" s="10"/>
      <c r="I637" s="10"/>
      <c r="M637" s="10"/>
      <c r="O637" s="10"/>
    </row>
    <row r="638">
      <c r="B638" s="10"/>
      <c r="C638" s="10"/>
      <c r="D638" s="10"/>
      <c r="E638" s="10"/>
      <c r="F638" s="10"/>
      <c r="G638" s="10"/>
      <c r="H638" s="10"/>
      <c r="I638" s="10"/>
      <c r="M638" s="10"/>
      <c r="O638" s="10"/>
    </row>
    <row r="639">
      <c r="B639" s="10"/>
      <c r="C639" s="10"/>
      <c r="D639" s="10"/>
      <c r="E639" s="10"/>
      <c r="F639" s="10"/>
      <c r="G639" s="10"/>
      <c r="H639" s="10"/>
      <c r="I639" s="10"/>
      <c r="M639" s="10"/>
      <c r="O639" s="10"/>
    </row>
    <row r="640">
      <c r="B640" s="10"/>
      <c r="C640" s="10"/>
      <c r="D640" s="10"/>
      <c r="E640" s="10"/>
      <c r="F640" s="10"/>
      <c r="G640" s="10"/>
      <c r="H640" s="10"/>
      <c r="I640" s="10"/>
      <c r="M640" s="10"/>
      <c r="O640" s="10"/>
    </row>
    <row r="641">
      <c r="B641" s="10"/>
      <c r="C641" s="10"/>
      <c r="D641" s="10"/>
      <c r="E641" s="10"/>
      <c r="F641" s="10"/>
      <c r="G641" s="10"/>
      <c r="H641" s="10"/>
      <c r="I641" s="10"/>
      <c r="M641" s="10"/>
      <c r="O641" s="10"/>
    </row>
    <row r="642">
      <c r="B642" s="10"/>
      <c r="C642" s="10"/>
      <c r="D642" s="10"/>
      <c r="E642" s="10"/>
      <c r="F642" s="10"/>
      <c r="G642" s="10"/>
      <c r="H642" s="10"/>
      <c r="I642" s="10"/>
      <c r="M642" s="10"/>
      <c r="O642" s="10"/>
    </row>
    <row r="643">
      <c r="B643" s="10"/>
      <c r="C643" s="10"/>
      <c r="D643" s="10"/>
      <c r="E643" s="10"/>
      <c r="F643" s="10"/>
      <c r="G643" s="10"/>
      <c r="H643" s="10"/>
      <c r="I643" s="10"/>
      <c r="M643" s="10"/>
      <c r="O643" s="10"/>
    </row>
    <row r="644">
      <c r="B644" s="10"/>
      <c r="C644" s="10"/>
      <c r="D644" s="10"/>
      <c r="E644" s="10"/>
      <c r="F644" s="10"/>
      <c r="G644" s="10"/>
      <c r="H644" s="10"/>
      <c r="I644" s="10"/>
      <c r="M644" s="10"/>
      <c r="O644" s="10"/>
    </row>
    <row r="645">
      <c r="B645" s="10"/>
      <c r="C645" s="10"/>
      <c r="D645" s="10"/>
      <c r="E645" s="10"/>
      <c r="F645" s="10"/>
      <c r="G645" s="10"/>
      <c r="H645" s="10"/>
      <c r="I645" s="10"/>
      <c r="M645" s="10"/>
      <c r="O645" s="10"/>
    </row>
    <row r="646">
      <c r="B646" s="10"/>
      <c r="C646" s="10"/>
      <c r="D646" s="10"/>
      <c r="E646" s="10"/>
      <c r="F646" s="10"/>
      <c r="G646" s="10"/>
      <c r="H646" s="10"/>
      <c r="I646" s="10"/>
      <c r="M646" s="10"/>
      <c r="O646" s="10"/>
    </row>
    <row r="647">
      <c r="B647" s="10"/>
      <c r="C647" s="10"/>
      <c r="D647" s="10"/>
      <c r="E647" s="10"/>
      <c r="F647" s="10"/>
      <c r="G647" s="10"/>
      <c r="H647" s="10"/>
      <c r="I647" s="10"/>
      <c r="M647" s="10"/>
      <c r="O647" s="10"/>
    </row>
    <row r="648">
      <c r="B648" s="10"/>
      <c r="C648" s="10"/>
      <c r="D648" s="10"/>
      <c r="E648" s="10"/>
      <c r="F648" s="10"/>
      <c r="G648" s="10"/>
      <c r="H648" s="10"/>
      <c r="I648" s="10"/>
      <c r="M648" s="10"/>
      <c r="O648" s="10"/>
    </row>
    <row r="649">
      <c r="B649" s="10"/>
      <c r="C649" s="10"/>
      <c r="D649" s="10"/>
      <c r="E649" s="10"/>
      <c r="F649" s="10"/>
      <c r="G649" s="10"/>
      <c r="H649" s="10"/>
      <c r="I649" s="10"/>
      <c r="M649" s="10"/>
      <c r="O649" s="10"/>
    </row>
    <row r="650">
      <c r="B650" s="10"/>
      <c r="C650" s="10"/>
      <c r="D650" s="10"/>
      <c r="E650" s="10"/>
      <c r="F650" s="10"/>
      <c r="G650" s="10"/>
      <c r="H650" s="10"/>
      <c r="I650" s="10"/>
      <c r="M650" s="10"/>
      <c r="O650" s="10"/>
    </row>
    <row r="651">
      <c r="B651" s="10"/>
      <c r="C651" s="10"/>
      <c r="D651" s="10"/>
      <c r="E651" s="10"/>
      <c r="F651" s="10"/>
      <c r="G651" s="10"/>
      <c r="H651" s="10"/>
      <c r="I651" s="10"/>
      <c r="M651" s="10"/>
      <c r="O651" s="10"/>
    </row>
    <row r="652">
      <c r="B652" s="10"/>
      <c r="C652" s="10"/>
      <c r="D652" s="10"/>
      <c r="E652" s="10"/>
      <c r="F652" s="10"/>
      <c r="G652" s="10"/>
      <c r="H652" s="10"/>
      <c r="I652" s="10"/>
      <c r="M652" s="10"/>
      <c r="O652" s="10"/>
    </row>
    <row r="653">
      <c r="B653" s="10"/>
      <c r="C653" s="10"/>
      <c r="D653" s="10"/>
      <c r="E653" s="10"/>
      <c r="F653" s="10"/>
      <c r="G653" s="10"/>
      <c r="H653" s="10"/>
      <c r="I653" s="10"/>
      <c r="M653" s="10"/>
      <c r="O653" s="10"/>
    </row>
    <row r="654">
      <c r="B654" s="10"/>
      <c r="C654" s="10"/>
      <c r="D654" s="10"/>
      <c r="E654" s="10"/>
      <c r="F654" s="10"/>
      <c r="G654" s="10"/>
      <c r="H654" s="10"/>
      <c r="I654" s="10"/>
      <c r="M654" s="10"/>
      <c r="O654" s="10"/>
    </row>
    <row r="655">
      <c r="B655" s="10"/>
      <c r="C655" s="10"/>
      <c r="D655" s="10"/>
      <c r="E655" s="10"/>
      <c r="F655" s="10"/>
      <c r="G655" s="10"/>
      <c r="H655" s="10"/>
      <c r="I655" s="10"/>
      <c r="M655" s="10"/>
      <c r="O655" s="10"/>
    </row>
    <row r="656">
      <c r="B656" s="10"/>
      <c r="C656" s="10"/>
      <c r="D656" s="10"/>
      <c r="E656" s="10"/>
      <c r="F656" s="10"/>
      <c r="G656" s="10"/>
      <c r="H656" s="10"/>
      <c r="I656" s="10"/>
      <c r="M656" s="10"/>
      <c r="O656" s="10"/>
    </row>
    <row r="657">
      <c r="B657" s="10"/>
      <c r="C657" s="10"/>
      <c r="D657" s="10"/>
      <c r="E657" s="10"/>
      <c r="F657" s="10"/>
      <c r="G657" s="10"/>
      <c r="H657" s="10"/>
      <c r="I657" s="10"/>
      <c r="M657" s="10"/>
      <c r="O657" s="10"/>
    </row>
    <row r="658">
      <c r="B658" s="10"/>
      <c r="C658" s="10"/>
      <c r="D658" s="10"/>
      <c r="E658" s="10"/>
      <c r="F658" s="10"/>
      <c r="G658" s="10"/>
      <c r="H658" s="10"/>
      <c r="I658" s="10"/>
      <c r="M658" s="10"/>
      <c r="O658" s="10"/>
    </row>
    <row r="659">
      <c r="B659" s="10"/>
      <c r="C659" s="10"/>
      <c r="D659" s="10"/>
      <c r="E659" s="10"/>
      <c r="F659" s="10"/>
      <c r="G659" s="10"/>
      <c r="H659" s="10"/>
      <c r="I659" s="10"/>
      <c r="M659" s="10"/>
      <c r="O659" s="10"/>
    </row>
    <row r="660">
      <c r="B660" s="10"/>
      <c r="C660" s="10"/>
      <c r="D660" s="10"/>
      <c r="E660" s="10"/>
      <c r="F660" s="10"/>
      <c r="G660" s="10"/>
      <c r="H660" s="10"/>
      <c r="I660" s="10"/>
      <c r="M660" s="10"/>
      <c r="O660" s="10"/>
    </row>
    <row r="661">
      <c r="B661" s="10"/>
      <c r="C661" s="10"/>
      <c r="D661" s="10"/>
      <c r="E661" s="10"/>
      <c r="F661" s="10"/>
      <c r="G661" s="10"/>
      <c r="H661" s="10"/>
      <c r="I661" s="10"/>
      <c r="M661" s="10"/>
      <c r="O661" s="10"/>
    </row>
    <row r="662">
      <c r="B662" s="10"/>
      <c r="C662" s="10"/>
      <c r="D662" s="10"/>
      <c r="E662" s="10"/>
      <c r="F662" s="10"/>
      <c r="G662" s="10"/>
      <c r="H662" s="10"/>
      <c r="I662" s="10"/>
      <c r="M662" s="10"/>
      <c r="O662" s="10"/>
    </row>
    <row r="663">
      <c r="B663" s="10"/>
      <c r="C663" s="10"/>
      <c r="D663" s="10"/>
      <c r="E663" s="10"/>
      <c r="F663" s="10"/>
      <c r="G663" s="10"/>
      <c r="H663" s="10"/>
      <c r="I663" s="10"/>
      <c r="M663" s="10"/>
      <c r="O663" s="10"/>
    </row>
    <row r="664">
      <c r="B664" s="10"/>
      <c r="C664" s="10"/>
      <c r="D664" s="10"/>
      <c r="E664" s="10"/>
      <c r="F664" s="10"/>
      <c r="G664" s="10"/>
      <c r="H664" s="10"/>
      <c r="I664" s="10"/>
      <c r="M664" s="10"/>
      <c r="O664" s="10"/>
    </row>
    <row r="665">
      <c r="B665" s="10"/>
      <c r="C665" s="10"/>
      <c r="D665" s="10"/>
      <c r="E665" s="10"/>
      <c r="F665" s="10"/>
      <c r="G665" s="10"/>
      <c r="H665" s="10"/>
      <c r="I665" s="10"/>
      <c r="M665" s="10"/>
      <c r="O665" s="10"/>
    </row>
    <row r="666">
      <c r="B666" s="10"/>
      <c r="C666" s="10"/>
      <c r="D666" s="10"/>
      <c r="E666" s="10"/>
      <c r="F666" s="10"/>
      <c r="G666" s="10"/>
      <c r="H666" s="10"/>
      <c r="I666" s="10"/>
      <c r="M666" s="10"/>
      <c r="O666" s="10"/>
    </row>
    <row r="667">
      <c r="B667" s="10"/>
      <c r="C667" s="10"/>
      <c r="D667" s="10"/>
      <c r="E667" s="10"/>
      <c r="F667" s="10"/>
      <c r="G667" s="10"/>
      <c r="H667" s="10"/>
      <c r="I667" s="10"/>
      <c r="M667" s="10"/>
      <c r="O667" s="10"/>
    </row>
    <row r="668">
      <c r="B668" s="10"/>
      <c r="C668" s="10"/>
      <c r="D668" s="10"/>
      <c r="E668" s="10"/>
      <c r="F668" s="10"/>
      <c r="G668" s="10"/>
      <c r="H668" s="10"/>
      <c r="I668" s="10"/>
      <c r="M668" s="10"/>
      <c r="O668" s="10"/>
    </row>
    <row r="669">
      <c r="B669" s="10"/>
      <c r="C669" s="10"/>
      <c r="D669" s="10"/>
      <c r="E669" s="10"/>
      <c r="F669" s="10"/>
      <c r="G669" s="10"/>
      <c r="H669" s="10"/>
      <c r="I669" s="10"/>
      <c r="M669" s="10"/>
      <c r="O669" s="10"/>
    </row>
    <row r="670">
      <c r="B670" s="10"/>
      <c r="C670" s="10"/>
      <c r="D670" s="10"/>
      <c r="E670" s="10"/>
      <c r="F670" s="10"/>
      <c r="G670" s="10"/>
      <c r="H670" s="10"/>
      <c r="I670" s="10"/>
      <c r="M670" s="10"/>
      <c r="O670" s="10"/>
    </row>
    <row r="671">
      <c r="B671" s="10"/>
      <c r="C671" s="10"/>
      <c r="D671" s="10"/>
      <c r="E671" s="10"/>
      <c r="F671" s="10"/>
      <c r="G671" s="10"/>
      <c r="H671" s="10"/>
      <c r="I671" s="10"/>
      <c r="M671" s="10"/>
      <c r="O671" s="10"/>
    </row>
    <row r="672">
      <c r="B672" s="10"/>
      <c r="C672" s="10"/>
      <c r="D672" s="10"/>
      <c r="E672" s="10"/>
      <c r="F672" s="10"/>
      <c r="G672" s="10"/>
      <c r="H672" s="10"/>
      <c r="I672" s="10"/>
      <c r="M672" s="10"/>
      <c r="O672" s="10"/>
    </row>
    <row r="673">
      <c r="B673" s="10"/>
      <c r="C673" s="10"/>
      <c r="D673" s="10"/>
      <c r="E673" s="10"/>
      <c r="F673" s="10"/>
      <c r="G673" s="10"/>
      <c r="H673" s="10"/>
      <c r="I673" s="10"/>
      <c r="M673" s="10"/>
      <c r="O673" s="10"/>
    </row>
    <row r="674">
      <c r="B674" s="10"/>
      <c r="C674" s="10"/>
      <c r="D674" s="10"/>
      <c r="E674" s="10"/>
      <c r="F674" s="10"/>
      <c r="G674" s="10"/>
      <c r="H674" s="10"/>
      <c r="I674" s="10"/>
      <c r="M674" s="10"/>
      <c r="O674" s="10"/>
    </row>
    <row r="675">
      <c r="B675" s="10"/>
      <c r="C675" s="10"/>
      <c r="D675" s="10"/>
      <c r="E675" s="10"/>
      <c r="F675" s="10"/>
      <c r="G675" s="10"/>
      <c r="H675" s="10"/>
      <c r="I675" s="10"/>
      <c r="M675" s="10"/>
      <c r="O675" s="10"/>
    </row>
    <row r="676">
      <c r="B676" s="10"/>
      <c r="C676" s="10"/>
      <c r="D676" s="10"/>
      <c r="E676" s="10"/>
      <c r="F676" s="10"/>
      <c r="G676" s="10"/>
      <c r="H676" s="10"/>
      <c r="I676" s="10"/>
      <c r="M676" s="10"/>
      <c r="O676" s="10"/>
    </row>
    <row r="677">
      <c r="B677" s="10"/>
      <c r="C677" s="10"/>
      <c r="D677" s="10"/>
      <c r="E677" s="10"/>
      <c r="F677" s="10"/>
      <c r="G677" s="10"/>
      <c r="H677" s="10"/>
      <c r="I677" s="10"/>
      <c r="M677" s="10"/>
      <c r="O677" s="10"/>
    </row>
    <row r="678">
      <c r="B678" s="10"/>
      <c r="C678" s="10"/>
      <c r="D678" s="10"/>
      <c r="E678" s="10"/>
      <c r="F678" s="10"/>
      <c r="G678" s="10"/>
      <c r="H678" s="10"/>
      <c r="I678" s="10"/>
      <c r="M678" s="10"/>
      <c r="O678" s="10"/>
    </row>
    <row r="679">
      <c r="B679" s="10"/>
      <c r="C679" s="10"/>
      <c r="D679" s="10"/>
      <c r="E679" s="10"/>
      <c r="F679" s="10"/>
      <c r="G679" s="10"/>
      <c r="H679" s="10"/>
      <c r="I679" s="10"/>
      <c r="M679" s="10"/>
      <c r="O679" s="10"/>
    </row>
    <row r="680">
      <c r="B680" s="10"/>
      <c r="C680" s="10"/>
      <c r="D680" s="10"/>
      <c r="E680" s="10"/>
      <c r="F680" s="10"/>
      <c r="G680" s="10"/>
      <c r="H680" s="10"/>
      <c r="I680" s="10"/>
      <c r="M680" s="10"/>
      <c r="O680" s="10"/>
    </row>
    <row r="681">
      <c r="B681" s="10"/>
      <c r="C681" s="10"/>
      <c r="D681" s="10"/>
      <c r="E681" s="10"/>
      <c r="F681" s="10"/>
      <c r="G681" s="10"/>
      <c r="H681" s="10"/>
      <c r="I681" s="10"/>
      <c r="M681" s="10"/>
      <c r="O681" s="10"/>
    </row>
    <row r="682">
      <c r="B682" s="10"/>
      <c r="C682" s="10"/>
      <c r="D682" s="10"/>
      <c r="E682" s="10"/>
      <c r="F682" s="10"/>
      <c r="G682" s="10"/>
      <c r="H682" s="10"/>
      <c r="I682" s="10"/>
      <c r="M682" s="10"/>
      <c r="O682" s="10"/>
    </row>
    <row r="683">
      <c r="B683" s="10"/>
      <c r="C683" s="10"/>
      <c r="D683" s="10"/>
      <c r="E683" s="10"/>
      <c r="F683" s="10"/>
      <c r="G683" s="10"/>
      <c r="H683" s="10"/>
      <c r="I683" s="10"/>
      <c r="M683" s="10"/>
      <c r="O683" s="10"/>
    </row>
    <row r="684">
      <c r="B684" s="10"/>
      <c r="C684" s="10"/>
      <c r="D684" s="10"/>
      <c r="E684" s="10"/>
      <c r="F684" s="10"/>
      <c r="G684" s="10"/>
      <c r="H684" s="10"/>
      <c r="I684" s="10"/>
      <c r="M684" s="10"/>
      <c r="O684" s="10"/>
    </row>
    <row r="685">
      <c r="B685" s="10"/>
      <c r="C685" s="10"/>
      <c r="D685" s="10"/>
      <c r="E685" s="10"/>
      <c r="F685" s="10"/>
      <c r="G685" s="10"/>
      <c r="H685" s="10"/>
      <c r="I685" s="10"/>
      <c r="M685" s="10"/>
      <c r="O685" s="10"/>
    </row>
    <row r="686">
      <c r="B686" s="10"/>
      <c r="C686" s="10"/>
      <c r="D686" s="10"/>
      <c r="E686" s="10"/>
      <c r="F686" s="10"/>
      <c r="G686" s="10"/>
      <c r="H686" s="10"/>
      <c r="I686" s="10"/>
      <c r="M686" s="10"/>
      <c r="O686" s="10"/>
    </row>
    <row r="687">
      <c r="B687" s="10"/>
      <c r="C687" s="10"/>
      <c r="D687" s="10"/>
      <c r="E687" s="10"/>
      <c r="F687" s="10"/>
      <c r="G687" s="10"/>
      <c r="H687" s="10"/>
      <c r="I687" s="10"/>
      <c r="M687" s="10"/>
      <c r="O687" s="10"/>
    </row>
    <row r="688">
      <c r="B688" s="10"/>
      <c r="C688" s="10"/>
      <c r="D688" s="10"/>
      <c r="E688" s="10"/>
      <c r="F688" s="10"/>
      <c r="G688" s="10"/>
      <c r="H688" s="10"/>
      <c r="I688" s="10"/>
      <c r="M688" s="10"/>
      <c r="O688" s="10"/>
    </row>
    <row r="689">
      <c r="B689" s="10"/>
      <c r="C689" s="10"/>
      <c r="D689" s="10"/>
      <c r="E689" s="10"/>
      <c r="F689" s="10"/>
      <c r="G689" s="10"/>
      <c r="H689" s="10"/>
      <c r="I689" s="10"/>
      <c r="M689" s="10"/>
      <c r="O689" s="10"/>
    </row>
    <row r="690">
      <c r="B690" s="10"/>
      <c r="C690" s="10"/>
      <c r="D690" s="10"/>
      <c r="E690" s="10"/>
      <c r="F690" s="10"/>
      <c r="G690" s="10"/>
      <c r="H690" s="10"/>
      <c r="I690" s="10"/>
      <c r="M690" s="10"/>
      <c r="O690" s="10"/>
    </row>
    <row r="691">
      <c r="B691" s="10"/>
      <c r="C691" s="10"/>
      <c r="D691" s="10"/>
      <c r="E691" s="10"/>
      <c r="F691" s="10"/>
      <c r="G691" s="10"/>
      <c r="H691" s="10"/>
      <c r="I691" s="10"/>
      <c r="M691" s="10"/>
      <c r="O691" s="10"/>
    </row>
    <row r="692">
      <c r="B692" s="10"/>
      <c r="C692" s="10"/>
      <c r="D692" s="10"/>
      <c r="E692" s="10"/>
      <c r="F692" s="10"/>
      <c r="G692" s="10"/>
      <c r="H692" s="10"/>
      <c r="I692" s="10"/>
      <c r="M692" s="10"/>
      <c r="O692" s="10"/>
    </row>
    <row r="693">
      <c r="B693" s="10"/>
      <c r="C693" s="10"/>
      <c r="D693" s="10"/>
      <c r="E693" s="10"/>
      <c r="F693" s="10"/>
      <c r="G693" s="10"/>
      <c r="H693" s="10"/>
      <c r="I693" s="10"/>
      <c r="M693" s="10"/>
      <c r="O693" s="10"/>
    </row>
    <row r="694">
      <c r="B694" s="10"/>
      <c r="C694" s="10"/>
      <c r="D694" s="10"/>
      <c r="E694" s="10"/>
      <c r="F694" s="10"/>
      <c r="G694" s="10"/>
      <c r="H694" s="10"/>
      <c r="I694" s="10"/>
      <c r="M694" s="10"/>
      <c r="O694" s="10"/>
    </row>
    <row r="695">
      <c r="B695" s="10"/>
      <c r="C695" s="10"/>
      <c r="D695" s="10"/>
      <c r="E695" s="10"/>
      <c r="F695" s="10"/>
      <c r="G695" s="10"/>
      <c r="H695" s="10"/>
      <c r="I695" s="10"/>
      <c r="M695" s="10"/>
      <c r="O695" s="10"/>
    </row>
    <row r="696">
      <c r="B696" s="10"/>
      <c r="C696" s="10"/>
      <c r="D696" s="10"/>
      <c r="E696" s="10"/>
      <c r="F696" s="10"/>
      <c r="G696" s="10"/>
      <c r="H696" s="10"/>
      <c r="I696" s="10"/>
      <c r="M696" s="10"/>
      <c r="O696" s="10"/>
    </row>
    <row r="697">
      <c r="B697" s="10"/>
      <c r="C697" s="10"/>
      <c r="D697" s="10"/>
      <c r="E697" s="10"/>
      <c r="F697" s="10"/>
      <c r="G697" s="10"/>
      <c r="H697" s="10"/>
      <c r="I697" s="10"/>
      <c r="M697" s="10"/>
      <c r="O697" s="10"/>
    </row>
    <row r="698">
      <c r="B698" s="10"/>
      <c r="C698" s="10"/>
      <c r="D698" s="10"/>
      <c r="E698" s="10"/>
      <c r="F698" s="10"/>
      <c r="G698" s="10"/>
      <c r="H698" s="10"/>
      <c r="I698" s="10"/>
      <c r="M698" s="10"/>
      <c r="O698" s="10"/>
    </row>
    <row r="699">
      <c r="B699" s="10"/>
      <c r="C699" s="10"/>
      <c r="D699" s="10"/>
      <c r="E699" s="10"/>
      <c r="F699" s="10"/>
      <c r="G699" s="10"/>
      <c r="H699" s="10"/>
      <c r="I699" s="10"/>
      <c r="M699" s="10"/>
      <c r="O699" s="10"/>
    </row>
    <row r="700">
      <c r="B700" s="10"/>
      <c r="C700" s="10"/>
      <c r="D700" s="10"/>
      <c r="E700" s="10"/>
      <c r="F700" s="10"/>
      <c r="G700" s="10"/>
      <c r="H700" s="10"/>
      <c r="I700" s="10"/>
      <c r="M700" s="10"/>
      <c r="O700" s="10"/>
    </row>
    <row r="701">
      <c r="B701" s="10"/>
      <c r="C701" s="10"/>
      <c r="D701" s="10"/>
      <c r="E701" s="10"/>
      <c r="F701" s="10"/>
      <c r="G701" s="10"/>
      <c r="H701" s="10"/>
      <c r="I701" s="10"/>
      <c r="M701" s="10"/>
      <c r="O701" s="10"/>
    </row>
    <row r="702">
      <c r="B702" s="10"/>
      <c r="C702" s="10"/>
      <c r="D702" s="10"/>
      <c r="E702" s="10"/>
      <c r="F702" s="10"/>
      <c r="G702" s="10"/>
      <c r="H702" s="10"/>
      <c r="I702" s="10"/>
      <c r="M702" s="10"/>
      <c r="O702" s="10"/>
    </row>
    <row r="703">
      <c r="B703" s="10"/>
      <c r="C703" s="10"/>
      <c r="D703" s="10"/>
      <c r="E703" s="10"/>
      <c r="F703" s="10"/>
      <c r="G703" s="10"/>
      <c r="H703" s="10"/>
      <c r="I703" s="10"/>
      <c r="M703" s="10"/>
      <c r="O703" s="10"/>
    </row>
    <row r="704">
      <c r="B704" s="10"/>
      <c r="C704" s="10"/>
      <c r="D704" s="10"/>
      <c r="E704" s="10"/>
      <c r="F704" s="10"/>
      <c r="G704" s="10"/>
      <c r="H704" s="10"/>
      <c r="I704" s="10"/>
      <c r="M704" s="10"/>
      <c r="O704" s="10"/>
    </row>
    <row r="705">
      <c r="B705" s="10"/>
      <c r="C705" s="10"/>
      <c r="D705" s="10"/>
      <c r="E705" s="10"/>
      <c r="F705" s="10"/>
      <c r="G705" s="10"/>
      <c r="H705" s="10"/>
      <c r="I705" s="10"/>
      <c r="M705" s="10"/>
      <c r="O705" s="10"/>
    </row>
    <row r="706">
      <c r="B706" s="10"/>
      <c r="C706" s="10"/>
      <c r="D706" s="10"/>
      <c r="E706" s="10"/>
      <c r="F706" s="10"/>
      <c r="G706" s="10"/>
      <c r="H706" s="10"/>
      <c r="I706" s="10"/>
      <c r="M706" s="10"/>
      <c r="O706" s="10"/>
    </row>
    <row r="707">
      <c r="B707" s="10"/>
      <c r="C707" s="10"/>
      <c r="D707" s="10"/>
      <c r="E707" s="10"/>
      <c r="F707" s="10"/>
      <c r="G707" s="10"/>
      <c r="H707" s="10"/>
      <c r="I707" s="10"/>
      <c r="M707" s="10"/>
      <c r="O707" s="10"/>
    </row>
    <row r="708">
      <c r="B708" s="10"/>
      <c r="C708" s="10"/>
      <c r="D708" s="10"/>
      <c r="E708" s="10"/>
      <c r="F708" s="10"/>
      <c r="G708" s="10"/>
      <c r="H708" s="10"/>
      <c r="I708" s="10"/>
      <c r="M708" s="10"/>
      <c r="O708" s="10"/>
    </row>
    <row r="709">
      <c r="B709" s="10"/>
      <c r="C709" s="10"/>
      <c r="D709" s="10"/>
      <c r="E709" s="10"/>
      <c r="F709" s="10"/>
      <c r="G709" s="10"/>
      <c r="H709" s="10"/>
      <c r="I709" s="10"/>
      <c r="M709" s="10"/>
      <c r="O709" s="10"/>
    </row>
    <row r="710">
      <c r="B710" s="10"/>
      <c r="C710" s="10"/>
      <c r="D710" s="10"/>
      <c r="E710" s="10"/>
      <c r="F710" s="10"/>
      <c r="G710" s="10"/>
      <c r="H710" s="10"/>
      <c r="I710" s="10"/>
      <c r="M710" s="10"/>
      <c r="O710" s="10"/>
    </row>
    <row r="711">
      <c r="B711" s="10"/>
      <c r="C711" s="10"/>
      <c r="D711" s="10"/>
      <c r="E711" s="10"/>
      <c r="F711" s="10"/>
      <c r="G711" s="10"/>
      <c r="H711" s="10"/>
      <c r="I711" s="10"/>
      <c r="M711" s="10"/>
      <c r="O711" s="10"/>
    </row>
    <row r="712">
      <c r="B712" s="10"/>
      <c r="C712" s="10"/>
      <c r="D712" s="10"/>
      <c r="E712" s="10"/>
      <c r="F712" s="10"/>
      <c r="G712" s="10"/>
      <c r="H712" s="10"/>
      <c r="I712" s="10"/>
      <c r="M712" s="10"/>
      <c r="O712" s="10"/>
    </row>
    <row r="713">
      <c r="B713" s="10"/>
      <c r="C713" s="10"/>
      <c r="D713" s="10"/>
      <c r="E713" s="10"/>
      <c r="F713" s="10"/>
      <c r="G713" s="10"/>
      <c r="H713" s="10"/>
      <c r="I713" s="10"/>
      <c r="M713" s="10"/>
      <c r="O713" s="10"/>
    </row>
    <row r="714">
      <c r="B714" s="10"/>
      <c r="C714" s="10"/>
      <c r="D714" s="10"/>
      <c r="E714" s="10"/>
      <c r="F714" s="10"/>
      <c r="G714" s="10"/>
      <c r="H714" s="10"/>
      <c r="I714" s="10"/>
      <c r="M714" s="10"/>
      <c r="O714" s="10"/>
    </row>
    <row r="715">
      <c r="B715" s="10"/>
      <c r="C715" s="10"/>
      <c r="D715" s="10"/>
      <c r="E715" s="10"/>
      <c r="F715" s="10"/>
      <c r="G715" s="10"/>
      <c r="H715" s="10"/>
      <c r="I715" s="10"/>
      <c r="M715" s="10"/>
      <c r="O715" s="10"/>
    </row>
    <row r="716">
      <c r="B716" s="10"/>
      <c r="C716" s="10"/>
      <c r="D716" s="10"/>
      <c r="E716" s="10"/>
      <c r="F716" s="10"/>
      <c r="G716" s="10"/>
      <c r="H716" s="10"/>
      <c r="I716" s="10"/>
      <c r="M716" s="10"/>
      <c r="O716" s="10"/>
    </row>
    <row r="717">
      <c r="B717" s="10"/>
      <c r="C717" s="10"/>
      <c r="D717" s="10"/>
      <c r="E717" s="10"/>
      <c r="F717" s="10"/>
      <c r="G717" s="10"/>
      <c r="H717" s="10"/>
      <c r="I717" s="10"/>
      <c r="M717" s="10"/>
      <c r="O717" s="10"/>
    </row>
    <row r="718">
      <c r="B718" s="10"/>
      <c r="C718" s="10"/>
      <c r="D718" s="10"/>
      <c r="E718" s="10"/>
      <c r="F718" s="10"/>
      <c r="G718" s="10"/>
      <c r="H718" s="10"/>
      <c r="I718" s="10"/>
      <c r="M718" s="10"/>
      <c r="O718" s="10"/>
    </row>
    <row r="719">
      <c r="B719" s="10"/>
      <c r="C719" s="10"/>
      <c r="D719" s="10"/>
      <c r="E719" s="10"/>
      <c r="F719" s="10"/>
      <c r="G719" s="10"/>
      <c r="H719" s="10"/>
      <c r="I719" s="10"/>
      <c r="M719" s="10"/>
      <c r="O719" s="10"/>
    </row>
    <row r="720">
      <c r="B720" s="10"/>
      <c r="C720" s="10"/>
      <c r="D720" s="10"/>
      <c r="E720" s="10"/>
      <c r="F720" s="10"/>
      <c r="G720" s="10"/>
      <c r="H720" s="10"/>
      <c r="I720" s="10"/>
      <c r="M720" s="10"/>
      <c r="O720" s="10"/>
    </row>
    <row r="721">
      <c r="B721" s="10"/>
      <c r="C721" s="10"/>
      <c r="D721" s="10"/>
      <c r="E721" s="10"/>
      <c r="F721" s="10"/>
      <c r="G721" s="10"/>
      <c r="H721" s="10"/>
      <c r="I721" s="10"/>
      <c r="M721" s="10"/>
      <c r="O721" s="10"/>
    </row>
    <row r="722">
      <c r="B722" s="10"/>
      <c r="C722" s="10"/>
      <c r="D722" s="10"/>
      <c r="E722" s="10"/>
      <c r="F722" s="10"/>
      <c r="G722" s="10"/>
      <c r="H722" s="10"/>
      <c r="I722" s="10"/>
      <c r="M722" s="10"/>
      <c r="O722" s="10"/>
    </row>
    <row r="723">
      <c r="B723" s="10"/>
      <c r="C723" s="10"/>
      <c r="D723" s="10"/>
      <c r="E723" s="10"/>
      <c r="F723" s="10"/>
      <c r="G723" s="10"/>
      <c r="H723" s="10"/>
      <c r="I723" s="10"/>
      <c r="M723" s="10"/>
      <c r="O723" s="10"/>
    </row>
    <row r="724">
      <c r="B724" s="10"/>
      <c r="C724" s="10"/>
      <c r="D724" s="10"/>
      <c r="E724" s="10"/>
      <c r="F724" s="10"/>
      <c r="G724" s="10"/>
      <c r="H724" s="10"/>
      <c r="I724" s="10"/>
      <c r="M724" s="10"/>
      <c r="O724" s="10"/>
    </row>
    <row r="725">
      <c r="B725" s="10"/>
      <c r="C725" s="10"/>
      <c r="D725" s="10"/>
      <c r="E725" s="10"/>
      <c r="F725" s="10"/>
      <c r="G725" s="10"/>
      <c r="H725" s="10"/>
      <c r="I725" s="10"/>
      <c r="M725" s="10"/>
      <c r="O725" s="10"/>
    </row>
    <row r="726">
      <c r="B726" s="10"/>
      <c r="C726" s="10"/>
      <c r="D726" s="10"/>
      <c r="E726" s="10"/>
      <c r="F726" s="10"/>
      <c r="G726" s="10"/>
      <c r="H726" s="10"/>
      <c r="I726" s="10"/>
      <c r="M726" s="10"/>
      <c r="O726" s="10"/>
    </row>
    <row r="727">
      <c r="B727" s="10"/>
      <c r="C727" s="10"/>
      <c r="D727" s="10"/>
      <c r="E727" s="10"/>
      <c r="F727" s="10"/>
      <c r="G727" s="10"/>
      <c r="H727" s="10"/>
      <c r="I727" s="10"/>
      <c r="M727" s="10"/>
      <c r="O727" s="10"/>
    </row>
    <row r="728">
      <c r="B728" s="10"/>
      <c r="C728" s="10"/>
      <c r="D728" s="10"/>
      <c r="E728" s="10"/>
      <c r="F728" s="10"/>
      <c r="G728" s="10"/>
      <c r="H728" s="10"/>
      <c r="I728" s="10"/>
      <c r="M728" s="10"/>
      <c r="O728" s="10"/>
    </row>
    <row r="729">
      <c r="B729" s="10"/>
      <c r="C729" s="10"/>
      <c r="D729" s="10"/>
      <c r="E729" s="10"/>
      <c r="F729" s="10"/>
      <c r="G729" s="10"/>
      <c r="H729" s="10"/>
      <c r="I729" s="10"/>
      <c r="M729" s="10"/>
      <c r="O729" s="10"/>
    </row>
    <row r="730">
      <c r="B730" s="10"/>
      <c r="C730" s="10"/>
      <c r="D730" s="10"/>
      <c r="E730" s="10"/>
      <c r="F730" s="10"/>
      <c r="G730" s="10"/>
      <c r="H730" s="10"/>
      <c r="I730" s="10"/>
      <c r="M730" s="10"/>
      <c r="O730" s="10"/>
    </row>
    <row r="731">
      <c r="B731" s="10"/>
      <c r="C731" s="10"/>
      <c r="D731" s="10"/>
      <c r="E731" s="10"/>
      <c r="F731" s="10"/>
      <c r="G731" s="10"/>
      <c r="H731" s="10"/>
      <c r="I731" s="10"/>
      <c r="M731" s="10"/>
      <c r="O731" s="10"/>
    </row>
    <row r="732">
      <c r="B732" s="10"/>
      <c r="C732" s="10"/>
      <c r="D732" s="10"/>
      <c r="E732" s="10"/>
      <c r="F732" s="10"/>
      <c r="G732" s="10"/>
      <c r="H732" s="10"/>
      <c r="I732" s="10"/>
      <c r="M732" s="10"/>
      <c r="O732" s="10"/>
    </row>
    <row r="733">
      <c r="B733" s="10"/>
      <c r="C733" s="10"/>
      <c r="D733" s="10"/>
      <c r="E733" s="10"/>
      <c r="F733" s="10"/>
      <c r="G733" s="10"/>
      <c r="H733" s="10"/>
      <c r="I733" s="10"/>
      <c r="M733" s="10"/>
      <c r="O733" s="10"/>
    </row>
    <row r="734">
      <c r="B734" s="10"/>
      <c r="C734" s="10"/>
      <c r="D734" s="10"/>
      <c r="E734" s="10"/>
      <c r="F734" s="10"/>
      <c r="G734" s="10"/>
      <c r="H734" s="10"/>
      <c r="I734" s="10"/>
      <c r="M734" s="10"/>
      <c r="O734" s="10"/>
    </row>
    <row r="735">
      <c r="B735" s="10"/>
      <c r="C735" s="10"/>
      <c r="D735" s="10"/>
      <c r="E735" s="10"/>
      <c r="F735" s="10"/>
      <c r="G735" s="10"/>
      <c r="H735" s="10"/>
      <c r="I735" s="10"/>
      <c r="M735" s="10"/>
      <c r="O735" s="10"/>
    </row>
    <row r="736">
      <c r="B736" s="10"/>
      <c r="C736" s="10"/>
      <c r="D736" s="10"/>
      <c r="E736" s="10"/>
      <c r="F736" s="10"/>
      <c r="G736" s="10"/>
      <c r="H736" s="10"/>
      <c r="I736" s="10"/>
      <c r="M736" s="10"/>
      <c r="O736" s="10"/>
    </row>
    <row r="737">
      <c r="B737" s="10"/>
      <c r="C737" s="10"/>
      <c r="D737" s="10"/>
      <c r="E737" s="10"/>
      <c r="F737" s="10"/>
      <c r="G737" s="10"/>
      <c r="H737" s="10"/>
      <c r="I737" s="10"/>
      <c r="M737" s="10"/>
      <c r="O737" s="10"/>
    </row>
    <row r="738">
      <c r="B738" s="10"/>
      <c r="C738" s="10"/>
      <c r="D738" s="10"/>
      <c r="E738" s="10"/>
      <c r="F738" s="10"/>
      <c r="G738" s="10"/>
      <c r="H738" s="10"/>
      <c r="I738" s="10"/>
      <c r="M738" s="10"/>
      <c r="O738" s="10"/>
    </row>
    <row r="739">
      <c r="B739" s="10"/>
      <c r="C739" s="10"/>
      <c r="D739" s="10"/>
      <c r="E739" s="10"/>
      <c r="F739" s="10"/>
      <c r="G739" s="10"/>
      <c r="H739" s="10"/>
      <c r="I739" s="10"/>
      <c r="M739" s="10"/>
      <c r="O739" s="10"/>
    </row>
    <row r="740">
      <c r="B740" s="10"/>
      <c r="C740" s="10"/>
      <c r="D740" s="10"/>
      <c r="E740" s="10"/>
      <c r="F740" s="10"/>
      <c r="G740" s="10"/>
      <c r="H740" s="10"/>
      <c r="I740" s="10"/>
      <c r="M740" s="10"/>
      <c r="O740" s="10"/>
    </row>
    <row r="741">
      <c r="B741" s="10"/>
      <c r="C741" s="10"/>
      <c r="D741" s="10"/>
      <c r="E741" s="10"/>
      <c r="F741" s="10"/>
      <c r="G741" s="10"/>
      <c r="H741" s="10"/>
      <c r="I741" s="10"/>
      <c r="M741" s="10"/>
      <c r="O741" s="10"/>
    </row>
    <row r="742">
      <c r="B742" s="10"/>
      <c r="C742" s="10"/>
      <c r="D742" s="10"/>
      <c r="E742" s="10"/>
      <c r="F742" s="10"/>
      <c r="G742" s="10"/>
      <c r="H742" s="10"/>
      <c r="I742" s="10"/>
      <c r="M742" s="10"/>
      <c r="O742" s="10"/>
    </row>
    <row r="743">
      <c r="B743" s="10"/>
      <c r="C743" s="10"/>
      <c r="D743" s="10"/>
      <c r="E743" s="10"/>
      <c r="F743" s="10"/>
      <c r="G743" s="10"/>
      <c r="H743" s="10"/>
      <c r="I743" s="10"/>
      <c r="M743" s="10"/>
      <c r="O743" s="10"/>
    </row>
    <row r="744">
      <c r="B744" s="10"/>
      <c r="C744" s="10"/>
      <c r="D744" s="10"/>
      <c r="E744" s="10"/>
      <c r="F744" s="10"/>
      <c r="G744" s="10"/>
      <c r="H744" s="10"/>
      <c r="I744" s="10"/>
      <c r="M744" s="10"/>
      <c r="O744" s="10"/>
    </row>
    <row r="745">
      <c r="B745" s="10"/>
      <c r="C745" s="10"/>
      <c r="D745" s="10"/>
      <c r="E745" s="10"/>
      <c r="F745" s="10"/>
      <c r="G745" s="10"/>
      <c r="H745" s="10"/>
      <c r="I745" s="10"/>
      <c r="M745" s="10"/>
      <c r="O745" s="10"/>
    </row>
    <row r="746">
      <c r="B746" s="10"/>
      <c r="C746" s="10"/>
      <c r="D746" s="10"/>
      <c r="E746" s="10"/>
      <c r="F746" s="10"/>
      <c r="G746" s="10"/>
      <c r="H746" s="10"/>
      <c r="I746" s="10"/>
      <c r="M746" s="10"/>
      <c r="O746" s="10"/>
    </row>
    <row r="747">
      <c r="B747" s="10"/>
      <c r="C747" s="10"/>
      <c r="D747" s="10"/>
      <c r="E747" s="10"/>
      <c r="F747" s="10"/>
      <c r="G747" s="10"/>
      <c r="H747" s="10"/>
      <c r="I747" s="10"/>
      <c r="M747" s="10"/>
      <c r="O747" s="10"/>
    </row>
    <row r="748">
      <c r="B748" s="10"/>
      <c r="C748" s="10"/>
      <c r="D748" s="10"/>
      <c r="E748" s="10"/>
      <c r="F748" s="10"/>
      <c r="G748" s="10"/>
      <c r="H748" s="10"/>
      <c r="I748" s="10"/>
      <c r="M748" s="10"/>
      <c r="O748" s="10"/>
    </row>
    <row r="749">
      <c r="B749" s="10"/>
      <c r="C749" s="10"/>
      <c r="D749" s="10"/>
      <c r="E749" s="10"/>
      <c r="F749" s="10"/>
      <c r="G749" s="10"/>
      <c r="H749" s="10"/>
      <c r="I749" s="10"/>
      <c r="M749" s="10"/>
      <c r="O749" s="10"/>
    </row>
    <row r="750">
      <c r="B750" s="10"/>
      <c r="C750" s="10"/>
      <c r="D750" s="10"/>
      <c r="E750" s="10"/>
      <c r="F750" s="10"/>
      <c r="G750" s="10"/>
      <c r="H750" s="10"/>
      <c r="I750" s="10"/>
      <c r="M750" s="10"/>
      <c r="O750" s="10"/>
    </row>
    <row r="751">
      <c r="B751" s="10"/>
      <c r="C751" s="10"/>
      <c r="D751" s="10"/>
      <c r="E751" s="10"/>
      <c r="F751" s="10"/>
      <c r="G751" s="10"/>
      <c r="H751" s="10"/>
      <c r="I751" s="10"/>
      <c r="M751" s="10"/>
      <c r="O751" s="10"/>
    </row>
    <row r="752">
      <c r="B752" s="10"/>
      <c r="C752" s="10"/>
      <c r="D752" s="10"/>
      <c r="E752" s="10"/>
      <c r="F752" s="10"/>
      <c r="G752" s="10"/>
      <c r="H752" s="10"/>
      <c r="I752" s="10"/>
      <c r="M752" s="10"/>
      <c r="O752" s="10"/>
    </row>
    <row r="753">
      <c r="B753" s="10"/>
      <c r="C753" s="10"/>
      <c r="D753" s="10"/>
      <c r="E753" s="10"/>
      <c r="F753" s="10"/>
      <c r="G753" s="10"/>
      <c r="H753" s="10"/>
      <c r="I753" s="10"/>
      <c r="M753" s="10"/>
      <c r="O753" s="10"/>
    </row>
    <row r="754">
      <c r="B754" s="10"/>
      <c r="C754" s="10"/>
      <c r="D754" s="10"/>
      <c r="E754" s="10"/>
      <c r="F754" s="10"/>
      <c r="G754" s="10"/>
      <c r="H754" s="10"/>
      <c r="I754" s="10"/>
      <c r="M754" s="10"/>
      <c r="O754" s="10"/>
    </row>
    <row r="755">
      <c r="B755" s="10"/>
      <c r="C755" s="10"/>
      <c r="D755" s="10"/>
      <c r="E755" s="10"/>
      <c r="F755" s="10"/>
      <c r="G755" s="10"/>
      <c r="H755" s="10"/>
      <c r="I755" s="10"/>
      <c r="M755" s="10"/>
      <c r="O755" s="10"/>
    </row>
    <row r="756">
      <c r="B756" s="10"/>
      <c r="C756" s="10"/>
      <c r="D756" s="10"/>
      <c r="E756" s="10"/>
      <c r="F756" s="10"/>
      <c r="G756" s="10"/>
      <c r="H756" s="10"/>
      <c r="I756" s="10"/>
      <c r="M756" s="10"/>
      <c r="O756" s="10"/>
    </row>
    <row r="757">
      <c r="B757" s="10"/>
      <c r="C757" s="10"/>
      <c r="D757" s="10"/>
      <c r="E757" s="10"/>
      <c r="F757" s="10"/>
      <c r="G757" s="10"/>
      <c r="H757" s="10"/>
      <c r="I757" s="10"/>
      <c r="M757" s="10"/>
      <c r="O757" s="10"/>
    </row>
    <row r="758">
      <c r="B758" s="10"/>
      <c r="C758" s="10"/>
      <c r="D758" s="10"/>
      <c r="E758" s="10"/>
      <c r="F758" s="10"/>
      <c r="G758" s="10"/>
      <c r="H758" s="10"/>
      <c r="I758" s="10"/>
      <c r="M758" s="10"/>
      <c r="O758" s="10"/>
    </row>
    <row r="759">
      <c r="B759" s="10"/>
      <c r="C759" s="10"/>
      <c r="D759" s="10"/>
      <c r="E759" s="10"/>
      <c r="F759" s="10"/>
      <c r="G759" s="10"/>
      <c r="H759" s="10"/>
      <c r="I759" s="10"/>
      <c r="M759" s="10"/>
      <c r="O759" s="10"/>
    </row>
    <row r="760">
      <c r="B760" s="10"/>
      <c r="C760" s="10"/>
      <c r="D760" s="10"/>
      <c r="E760" s="10"/>
      <c r="F760" s="10"/>
      <c r="G760" s="10"/>
      <c r="H760" s="10"/>
      <c r="I760" s="10"/>
      <c r="M760" s="10"/>
      <c r="O760" s="10"/>
    </row>
    <row r="761">
      <c r="B761" s="10"/>
      <c r="C761" s="10"/>
      <c r="D761" s="10"/>
      <c r="E761" s="10"/>
      <c r="F761" s="10"/>
      <c r="G761" s="10"/>
      <c r="H761" s="10"/>
      <c r="I761" s="10"/>
      <c r="M761" s="10"/>
      <c r="O761" s="10"/>
    </row>
    <row r="762">
      <c r="B762" s="10"/>
      <c r="C762" s="10"/>
      <c r="D762" s="10"/>
      <c r="E762" s="10"/>
      <c r="F762" s="10"/>
      <c r="G762" s="10"/>
      <c r="H762" s="10"/>
      <c r="I762" s="10"/>
      <c r="M762" s="10"/>
      <c r="O762" s="10"/>
    </row>
    <row r="763">
      <c r="B763" s="10"/>
      <c r="C763" s="10"/>
      <c r="D763" s="10"/>
      <c r="E763" s="10"/>
      <c r="F763" s="10"/>
      <c r="G763" s="10"/>
      <c r="H763" s="10"/>
      <c r="I763" s="10"/>
      <c r="M763" s="10"/>
      <c r="O763" s="10"/>
    </row>
    <row r="764">
      <c r="B764" s="10"/>
      <c r="C764" s="10"/>
      <c r="D764" s="10"/>
      <c r="E764" s="10"/>
      <c r="F764" s="10"/>
      <c r="G764" s="10"/>
      <c r="H764" s="10"/>
      <c r="I764" s="10"/>
      <c r="M764" s="10"/>
      <c r="O764" s="10"/>
    </row>
    <row r="765">
      <c r="B765" s="10"/>
      <c r="C765" s="10"/>
      <c r="D765" s="10"/>
      <c r="E765" s="10"/>
      <c r="F765" s="10"/>
      <c r="G765" s="10"/>
      <c r="H765" s="10"/>
      <c r="I765" s="10"/>
      <c r="M765" s="10"/>
      <c r="O765" s="10"/>
    </row>
    <row r="766">
      <c r="B766" s="10"/>
      <c r="C766" s="10"/>
      <c r="D766" s="10"/>
      <c r="E766" s="10"/>
      <c r="F766" s="10"/>
      <c r="G766" s="10"/>
      <c r="H766" s="10"/>
      <c r="I766" s="10"/>
      <c r="M766" s="10"/>
      <c r="O766" s="10"/>
    </row>
    <row r="767">
      <c r="B767" s="10"/>
      <c r="C767" s="10"/>
      <c r="D767" s="10"/>
      <c r="E767" s="10"/>
      <c r="F767" s="10"/>
      <c r="G767" s="10"/>
      <c r="H767" s="10"/>
      <c r="I767" s="10"/>
      <c r="M767" s="10"/>
      <c r="O767" s="10"/>
    </row>
    <row r="768">
      <c r="B768" s="10"/>
      <c r="C768" s="10"/>
      <c r="D768" s="10"/>
      <c r="E768" s="10"/>
      <c r="F768" s="10"/>
      <c r="G768" s="10"/>
      <c r="H768" s="10"/>
      <c r="I768" s="10"/>
      <c r="M768" s="10"/>
      <c r="O768" s="10"/>
    </row>
    <row r="769">
      <c r="B769" s="10"/>
      <c r="C769" s="10"/>
      <c r="D769" s="10"/>
      <c r="E769" s="10"/>
      <c r="F769" s="10"/>
      <c r="G769" s="10"/>
      <c r="H769" s="10"/>
      <c r="I769" s="10"/>
      <c r="M769" s="10"/>
      <c r="O769" s="10"/>
    </row>
    <row r="770">
      <c r="B770" s="10"/>
      <c r="C770" s="10"/>
      <c r="D770" s="10"/>
      <c r="E770" s="10"/>
      <c r="F770" s="10"/>
      <c r="G770" s="10"/>
      <c r="H770" s="10"/>
      <c r="I770" s="10"/>
      <c r="M770" s="10"/>
      <c r="O770" s="10"/>
    </row>
    <row r="771">
      <c r="B771" s="10"/>
      <c r="C771" s="10"/>
      <c r="D771" s="10"/>
      <c r="E771" s="10"/>
      <c r="F771" s="10"/>
      <c r="G771" s="10"/>
      <c r="H771" s="10"/>
      <c r="I771" s="10"/>
      <c r="M771" s="10"/>
      <c r="O771" s="10"/>
    </row>
    <row r="772">
      <c r="B772" s="10"/>
      <c r="C772" s="10"/>
      <c r="D772" s="10"/>
      <c r="E772" s="10"/>
      <c r="F772" s="10"/>
      <c r="G772" s="10"/>
      <c r="H772" s="10"/>
      <c r="I772" s="10"/>
      <c r="M772" s="10"/>
      <c r="O772" s="10"/>
    </row>
    <row r="773">
      <c r="B773" s="10"/>
      <c r="C773" s="10"/>
      <c r="D773" s="10"/>
      <c r="E773" s="10"/>
      <c r="F773" s="10"/>
      <c r="G773" s="10"/>
      <c r="H773" s="10"/>
      <c r="I773" s="10"/>
      <c r="M773" s="10"/>
      <c r="O773" s="10"/>
    </row>
    <row r="774">
      <c r="B774" s="10"/>
      <c r="C774" s="10"/>
      <c r="D774" s="10"/>
      <c r="E774" s="10"/>
      <c r="F774" s="10"/>
      <c r="G774" s="10"/>
      <c r="H774" s="10"/>
      <c r="I774" s="10"/>
      <c r="M774" s="10"/>
      <c r="O774" s="10"/>
    </row>
    <row r="775">
      <c r="B775" s="10"/>
      <c r="C775" s="10"/>
      <c r="D775" s="10"/>
      <c r="E775" s="10"/>
      <c r="F775" s="10"/>
      <c r="G775" s="10"/>
      <c r="H775" s="10"/>
      <c r="I775" s="10"/>
      <c r="M775" s="10"/>
      <c r="O775" s="10"/>
    </row>
    <row r="776">
      <c r="B776" s="10"/>
      <c r="C776" s="10"/>
      <c r="D776" s="10"/>
      <c r="E776" s="10"/>
      <c r="F776" s="10"/>
      <c r="G776" s="10"/>
      <c r="H776" s="10"/>
      <c r="I776" s="10"/>
      <c r="M776" s="10"/>
      <c r="O776" s="10"/>
    </row>
    <row r="777">
      <c r="B777" s="10"/>
      <c r="C777" s="10"/>
      <c r="D777" s="10"/>
      <c r="E777" s="10"/>
      <c r="F777" s="10"/>
      <c r="G777" s="10"/>
      <c r="H777" s="10"/>
      <c r="I777" s="10"/>
      <c r="M777" s="10"/>
      <c r="O777" s="10"/>
    </row>
    <row r="778">
      <c r="B778" s="10"/>
      <c r="C778" s="10"/>
      <c r="D778" s="10"/>
      <c r="E778" s="10"/>
      <c r="F778" s="10"/>
      <c r="G778" s="10"/>
      <c r="H778" s="10"/>
      <c r="I778" s="10"/>
      <c r="M778" s="10"/>
      <c r="O778" s="10"/>
    </row>
    <row r="779">
      <c r="B779" s="10"/>
      <c r="C779" s="10"/>
      <c r="D779" s="10"/>
      <c r="E779" s="10"/>
      <c r="F779" s="10"/>
      <c r="G779" s="10"/>
      <c r="H779" s="10"/>
      <c r="I779" s="10"/>
      <c r="M779" s="10"/>
      <c r="O779" s="10"/>
    </row>
    <row r="780">
      <c r="B780" s="10"/>
      <c r="C780" s="10"/>
      <c r="D780" s="10"/>
      <c r="E780" s="10"/>
      <c r="F780" s="10"/>
      <c r="G780" s="10"/>
      <c r="H780" s="10"/>
      <c r="I780" s="10"/>
      <c r="M780" s="10"/>
      <c r="O780" s="10"/>
    </row>
    <row r="781">
      <c r="B781" s="10"/>
      <c r="C781" s="10"/>
      <c r="D781" s="10"/>
      <c r="E781" s="10"/>
      <c r="F781" s="10"/>
      <c r="G781" s="10"/>
      <c r="H781" s="10"/>
      <c r="I781" s="10"/>
      <c r="M781" s="10"/>
      <c r="O781" s="10"/>
    </row>
    <row r="782">
      <c r="B782" s="10"/>
      <c r="C782" s="10"/>
      <c r="D782" s="10"/>
      <c r="E782" s="10"/>
      <c r="F782" s="10"/>
      <c r="G782" s="10"/>
      <c r="H782" s="10"/>
      <c r="I782" s="10"/>
      <c r="M782" s="10"/>
      <c r="O782" s="10"/>
    </row>
    <row r="783">
      <c r="B783" s="10"/>
      <c r="C783" s="10"/>
      <c r="D783" s="10"/>
      <c r="E783" s="10"/>
      <c r="F783" s="10"/>
      <c r="G783" s="10"/>
      <c r="H783" s="10"/>
      <c r="I783" s="10"/>
      <c r="M783" s="10"/>
      <c r="O783" s="10"/>
    </row>
    <row r="784">
      <c r="B784" s="10"/>
      <c r="C784" s="10"/>
      <c r="D784" s="10"/>
      <c r="E784" s="10"/>
      <c r="F784" s="10"/>
      <c r="G784" s="10"/>
      <c r="H784" s="10"/>
      <c r="I784" s="10"/>
      <c r="M784" s="10"/>
      <c r="O784" s="10"/>
    </row>
    <row r="785">
      <c r="B785" s="10"/>
      <c r="C785" s="10"/>
      <c r="D785" s="10"/>
      <c r="E785" s="10"/>
      <c r="F785" s="10"/>
      <c r="G785" s="10"/>
      <c r="H785" s="10"/>
      <c r="I785" s="10"/>
      <c r="M785" s="10"/>
      <c r="O785" s="10"/>
    </row>
    <row r="786">
      <c r="B786" s="10"/>
      <c r="C786" s="10"/>
      <c r="D786" s="10"/>
      <c r="E786" s="10"/>
      <c r="F786" s="10"/>
      <c r="G786" s="10"/>
      <c r="H786" s="10"/>
      <c r="I786" s="10"/>
      <c r="M786" s="10"/>
      <c r="O786" s="10"/>
    </row>
    <row r="787">
      <c r="B787" s="10"/>
      <c r="C787" s="10"/>
      <c r="D787" s="10"/>
      <c r="E787" s="10"/>
      <c r="F787" s="10"/>
      <c r="G787" s="10"/>
      <c r="H787" s="10"/>
      <c r="I787" s="10"/>
      <c r="M787" s="10"/>
      <c r="O787" s="10"/>
    </row>
    <row r="788">
      <c r="B788" s="10"/>
      <c r="C788" s="10"/>
      <c r="D788" s="10"/>
      <c r="E788" s="10"/>
      <c r="F788" s="10"/>
      <c r="G788" s="10"/>
      <c r="H788" s="10"/>
      <c r="I788" s="10"/>
      <c r="M788" s="10"/>
      <c r="O788" s="10"/>
    </row>
    <row r="789">
      <c r="B789" s="10"/>
      <c r="C789" s="10"/>
      <c r="D789" s="10"/>
      <c r="E789" s="10"/>
      <c r="F789" s="10"/>
      <c r="G789" s="10"/>
      <c r="H789" s="10"/>
      <c r="I789" s="10"/>
      <c r="M789" s="10"/>
      <c r="O789" s="10"/>
    </row>
    <row r="790">
      <c r="B790" s="10"/>
      <c r="C790" s="10"/>
      <c r="D790" s="10"/>
      <c r="E790" s="10"/>
      <c r="F790" s="10"/>
      <c r="G790" s="10"/>
      <c r="H790" s="10"/>
      <c r="I790" s="10"/>
      <c r="M790" s="10"/>
      <c r="O790" s="10"/>
    </row>
    <row r="791">
      <c r="B791" s="10"/>
      <c r="C791" s="10"/>
      <c r="D791" s="10"/>
      <c r="E791" s="10"/>
      <c r="F791" s="10"/>
      <c r="G791" s="10"/>
      <c r="H791" s="10"/>
      <c r="I791" s="10"/>
      <c r="M791" s="10"/>
      <c r="O791" s="10"/>
    </row>
    <row r="792">
      <c r="B792" s="10"/>
      <c r="C792" s="10"/>
      <c r="D792" s="10"/>
      <c r="E792" s="10"/>
      <c r="F792" s="10"/>
      <c r="G792" s="10"/>
      <c r="H792" s="10"/>
      <c r="I792" s="10"/>
      <c r="M792" s="10"/>
      <c r="O792" s="10"/>
    </row>
    <row r="793">
      <c r="B793" s="10"/>
      <c r="C793" s="10"/>
      <c r="D793" s="10"/>
      <c r="E793" s="10"/>
      <c r="F793" s="10"/>
      <c r="G793" s="10"/>
      <c r="H793" s="10"/>
      <c r="I793" s="10"/>
      <c r="M793" s="10"/>
      <c r="O793" s="10"/>
    </row>
    <row r="794">
      <c r="B794" s="10"/>
      <c r="C794" s="10"/>
      <c r="D794" s="10"/>
      <c r="E794" s="10"/>
      <c r="F794" s="10"/>
      <c r="G794" s="10"/>
      <c r="H794" s="10"/>
      <c r="I794" s="10"/>
      <c r="M794" s="10"/>
      <c r="O794" s="10"/>
    </row>
    <row r="795">
      <c r="B795" s="10"/>
      <c r="C795" s="10"/>
      <c r="D795" s="10"/>
      <c r="E795" s="10"/>
      <c r="F795" s="10"/>
      <c r="G795" s="10"/>
      <c r="H795" s="10"/>
      <c r="I795" s="10"/>
      <c r="M795" s="10"/>
      <c r="O795" s="10"/>
    </row>
    <row r="796">
      <c r="B796" s="10"/>
      <c r="C796" s="10"/>
      <c r="D796" s="10"/>
      <c r="E796" s="10"/>
      <c r="F796" s="10"/>
      <c r="G796" s="10"/>
      <c r="H796" s="10"/>
      <c r="I796" s="10"/>
      <c r="M796" s="10"/>
      <c r="O796" s="10"/>
    </row>
    <row r="797">
      <c r="B797" s="10"/>
      <c r="C797" s="10"/>
      <c r="D797" s="10"/>
      <c r="E797" s="10"/>
      <c r="F797" s="10"/>
      <c r="G797" s="10"/>
      <c r="H797" s="10"/>
      <c r="I797" s="10"/>
      <c r="M797" s="10"/>
      <c r="O797" s="10"/>
    </row>
    <row r="798">
      <c r="B798" s="10"/>
      <c r="C798" s="10"/>
      <c r="D798" s="10"/>
      <c r="E798" s="10"/>
      <c r="F798" s="10"/>
      <c r="G798" s="10"/>
      <c r="H798" s="10"/>
      <c r="I798" s="10"/>
      <c r="M798" s="10"/>
      <c r="O798" s="10"/>
    </row>
    <row r="799">
      <c r="B799" s="10"/>
      <c r="C799" s="10"/>
      <c r="D799" s="10"/>
      <c r="E799" s="10"/>
      <c r="F799" s="10"/>
      <c r="G799" s="10"/>
      <c r="H799" s="10"/>
      <c r="I799" s="10"/>
      <c r="M799" s="10"/>
      <c r="O799" s="10"/>
    </row>
    <row r="800">
      <c r="B800" s="10"/>
      <c r="C800" s="10"/>
      <c r="D800" s="10"/>
      <c r="E800" s="10"/>
      <c r="F800" s="10"/>
      <c r="G800" s="10"/>
      <c r="H800" s="10"/>
      <c r="I800" s="10"/>
      <c r="M800" s="10"/>
      <c r="O800" s="10"/>
    </row>
    <row r="801">
      <c r="B801" s="10"/>
      <c r="C801" s="10"/>
      <c r="D801" s="10"/>
      <c r="E801" s="10"/>
      <c r="F801" s="10"/>
      <c r="G801" s="10"/>
      <c r="H801" s="10"/>
      <c r="I801" s="10"/>
      <c r="M801" s="10"/>
      <c r="O801" s="10"/>
    </row>
    <row r="802">
      <c r="B802" s="10"/>
      <c r="C802" s="10"/>
      <c r="D802" s="10"/>
      <c r="E802" s="10"/>
      <c r="F802" s="10"/>
      <c r="G802" s="10"/>
      <c r="H802" s="10"/>
      <c r="I802" s="10"/>
      <c r="M802" s="10"/>
      <c r="O802" s="10"/>
    </row>
    <row r="803">
      <c r="B803" s="10"/>
      <c r="C803" s="10"/>
      <c r="D803" s="10"/>
      <c r="E803" s="10"/>
      <c r="F803" s="10"/>
      <c r="G803" s="10"/>
      <c r="H803" s="10"/>
      <c r="I803" s="10"/>
      <c r="M803" s="10"/>
      <c r="O803" s="10"/>
    </row>
    <row r="804">
      <c r="B804" s="10"/>
      <c r="C804" s="10"/>
      <c r="D804" s="10"/>
      <c r="E804" s="10"/>
      <c r="F804" s="10"/>
      <c r="G804" s="10"/>
      <c r="H804" s="10"/>
      <c r="I804" s="10"/>
      <c r="M804" s="10"/>
      <c r="O804" s="10"/>
    </row>
    <row r="805">
      <c r="B805" s="10"/>
      <c r="C805" s="10"/>
      <c r="D805" s="10"/>
      <c r="E805" s="10"/>
      <c r="F805" s="10"/>
      <c r="G805" s="10"/>
      <c r="H805" s="10"/>
      <c r="I805" s="10"/>
      <c r="M805" s="10"/>
      <c r="O805" s="10"/>
    </row>
    <row r="806">
      <c r="B806" s="10"/>
      <c r="C806" s="10"/>
      <c r="D806" s="10"/>
      <c r="E806" s="10"/>
      <c r="F806" s="10"/>
      <c r="G806" s="10"/>
      <c r="H806" s="10"/>
      <c r="I806" s="10"/>
      <c r="M806" s="10"/>
      <c r="O806" s="10"/>
    </row>
    <row r="807">
      <c r="B807" s="10"/>
      <c r="C807" s="10"/>
      <c r="D807" s="10"/>
      <c r="E807" s="10"/>
      <c r="F807" s="10"/>
      <c r="G807" s="10"/>
      <c r="H807" s="10"/>
      <c r="I807" s="10"/>
      <c r="M807" s="10"/>
      <c r="O807" s="10"/>
    </row>
    <row r="808">
      <c r="B808" s="10"/>
      <c r="C808" s="10"/>
      <c r="D808" s="10"/>
      <c r="E808" s="10"/>
      <c r="F808" s="10"/>
      <c r="G808" s="10"/>
      <c r="H808" s="10"/>
      <c r="I808" s="10"/>
      <c r="M808" s="10"/>
      <c r="O808" s="10"/>
    </row>
    <row r="809">
      <c r="B809" s="10"/>
      <c r="C809" s="10"/>
      <c r="D809" s="10"/>
      <c r="E809" s="10"/>
      <c r="F809" s="10"/>
      <c r="G809" s="10"/>
      <c r="H809" s="10"/>
      <c r="I809" s="10"/>
      <c r="M809" s="10"/>
      <c r="O809" s="10"/>
    </row>
    <row r="810">
      <c r="B810" s="10"/>
      <c r="C810" s="10"/>
      <c r="D810" s="10"/>
      <c r="E810" s="10"/>
      <c r="F810" s="10"/>
      <c r="G810" s="10"/>
      <c r="H810" s="10"/>
      <c r="I810" s="10"/>
      <c r="M810" s="10"/>
      <c r="O810" s="10"/>
    </row>
    <row r="811">
      <c r="B811" s="10"/>
      <c r="C811" s="10"/>
      <c r="D811" s="10"/>
      <c r="E811" s="10"/>
      <c r="F811" s="10"/>
      <c r="G811" s="10"/>
      <c r="H811" s="10"/>
      <c r="I811" s="10"/>
      <c r="M811" s="10"/>
      <c r="O811" s="10"/>
    </row>
    <row r="812">
      <c r="B812" s="10"/>
      <c r="C812" s="10"/>
      <c r="D812" s="10"/>
      <c r="E812" s="10"/>
      <c r="F812" s="10"/>
      <c r="G812" s="10"/>
      <c r="H812" s="10"/>
      <c r="I812" s="10"/>
      <c r="M812" s="10"/>
      <c r="O812" s="10"/>
    </row>
    <row r="813">
      <c r="B813" s="10"/>
      <c r="C813" s="10"/>
      <c r="D813" s="10"/>
      <c r="E813" s="10"/>
      <c r="F813" s="10"/>
      <c r="G813" s="10"/>
      <c r="H813" s="10"/>
      <c r="I813" s="10"/>
      <c r="M813" s="10"/>
      <c r="O813" s="10"/>
    </row>
    <row r="814">
      <c r="B814" s="10"/>
      <c r="C814" s="10"/>
      <c r="D814" s="10"/>
      <c r="E814" s="10"/>
      <c r="F814" s="10"/>
      <c r="G814" s="10"/>
      <c r="H814" s="10"/>
      <c r="I814" s="10"/>
      <c r="M814" s="10"/>
      <c r="O814" s="10"/>
    </row>
    <row r="815">
      <c r="B815" s="10"/>
      <c r="C815" s="10"/>
      <c r="D815" s="10"/>
      <c r="E815" s="10"/>
      <c r="F815" s="10"/>
      <c r="G815" s="10"/>
      <c r="H815" s="10"/>
      <c r="I815" s="10"/>
      <c r="M815" s="10"/>
      <c r="O815" s="10"/>
    </row>
    <row r="816">
      <c r="B816" s="10"/>
      <c r="C816" s="10"/>
      <c r="D816" s="10"/>
      <c r="E816" s="10"/>
      <c r="F816" s="10"/>
      <c r="G816" s="10"/>
      <c r="H816" s="10"/>
      <c r="I816" s="10"/>
      <c r="M816" s="10"/>
      <c r="O816" s="10"/>
    </row>
    <row r="817">
      <c r="B817" s="10"/>
      <c r="C817" s="10"/>
      <c r="D817" s="10"/>
      <c r="E817" s="10"/>
      <c r="F817" s="10"/>
      <c r="G817" s="10"/>
      <c r="H817" s="10"/>
      <c r="I817" s="10"/>
      <c r="M817" s="10"/>
      <c r="O817" s="10"/>
    </row>
    <row r="818">
      <c r="B818" s="10"/>
      <c r="C818" s="10"/>
      <c r="D818" s="10"/>
      <c r="E818" s="10"/>
      <c r="F818" s="10"/>
      <c r="G818" s="10"/>
      <c r="H818" s="10"/>
      <c r="I818" s="10"/>
      <c r="M818" s="10"/>
      <c r="O818" s="10"/>
    </row>
    <row r="819">
      <c r="B819" s="10"/>
      <c r="C819" s="10"/>
      <c r="D819" s="10"/>
      <c r="E819" s="10"/>
      <c r="F819" s="10"/>
      <c r="G819" s="10"/>
      <c r="H819" s="10"/>
      <c r="I819" s="10"/>
      <c r="M819" s="10"/>
      <c r="O819" s="10"/>
    </row>
    <row r="820">
      <c r="B820" s="10"/>
      <c r="C820" s="10"/>
      <c r="D820" s="10"/>
      <c r="E820" s="10"/>
      <c r="F820" s="10"/>
      <c r="G820" s="10"/>
      <c r="H820" s="10"/>
      <c r="I820" s="10"/>
      <c r="M820" s="10"/>
      <c r="O820" s="10"/>
    </row>
    <row r="821">
      <c r="B821" s="10"/>
      <c r="C821" s="10"/>
      <c r="D821" s="10"/>
      <c r="E821" s="10"/>
      <c r="F821" s="10"/>
      <c r="G821" s="10"/>
      <c r="H821" s="10"/>
      <c r="I821" s="10"/>
      <c r="M821" s="10"/>
      <c r="O821" s="10"/>
    </row>
    <row r="822">
      <c r="B822" s="10"/>
      <c r="C822" s="10"/>
      <c r="D822" s="10"/>
      <c r="E822" s="10"/>
      <c r="F822" s="10"/>
      <c r="G822" s="10"/>
      <c r="H822" s="10"/>
      <c r="I822" s="10"/>
      <c r="M822" s="10"/>
      <c r="O822" s="10"/>
    </row>
    <row r="823">
      <c r="B823" s="10"/>
      <c r="C823" s="10"/>
      <c r="D823" s="10"/>
      <c r="E823" s="10"/>
      <c r="F823" s="10"/>
      <c r="G823" s="10"/>
      <c r="H823" s="10"/>
      <c r="I823" s="10"/>
      <c r="M823" s="10"/>
      <c r="O823" s="10"/>
    </row>
    <row r="824">
      <c r="B824" s="10"/>
      <c r="C824" s="10"/>
      <c r="D824" s="10"/>
      <c r="E824" s="10"/>
      <c r="F824" s="10"/>
      <c r="G824" s="10"/>
      <c r="H824" s="10"/>
      <c r="I824" s="10"/>
      <c r="M824" s="10"/>
      <c r="O824" s="10"/>
    </row>
    <row r="825">
      <c r="B825" s="10"/>
      <c r="C825" s="10"/>
      <c r="D825" s="10"/>
      <c r="E825" s="10"/>
      <c r="F825" s="10"/>
      <c r="G825" s="10"/>
      <c r="H825" s="10"/>
      <c r="I825" s="10"/>
      <c r="M825" s="10"/>
      <c r="O825" s="10"/>
    </row>
    <row r="826">
      <c r="B826" s="10"/>
      <c r="C826" s="10"/>
      <c r="D826" s="10"/>
      <c r="E826" s="10"/>
      <c r="F826" s="10"/>
      <c r="G826" s="10"/>
      <c r="H826" s="10"/>
      <c r="I826" s="10"/>
      <c r="M826" s="10"/>
      <c r="O826" s="10"/>
    </row>
    <row r="827">
      <c r="B827" s="10"/>
      <c r="C827" s="10"/>
      <c r="D827" s="10"/>
      <c r="E827" s="10"/>
      <c r="F827" s="10"/>
      <c r="G827" s="10"/>
      <c r="H827" s="10"/>
      <c r="I827" s="10"/>
      <c r="M827" s="10"/>
      <c r="O827" s="10"/>
    </row>
    <row r="828">
      <c r="B828" s="10"/>
      <c r="C828" s="10"/>
      <c r="D828" s="10"/>
      <c r="E828" s="10"/>
      <c r="F828" s="10"/>
      <c r="G828" s="10"/>
      <c r="H828" s="10"/>
      <c r="I828" s="10"/>
      <c r="M828" s="10"/>
      <c r="O828" s="10"/>
    </row>
    <row r="829">
      <c r="B829" s="10"/>
      <c r="C829" s="10"/>
      <c r="D829" s="10"/>
      <c r="E829" s="10"/>
      <c r="F829" s="10"/>
      <c r="G829" s="10"/>
      <c r="H829" s="10"/>
      <c r="I829" s="10"/>
      <c r="M829" s="10"/>
      <c r="O829" s="10"/>
    </row>
    <row r="830">
      <c r="B830" s="10"/>
      <c r="C830" s="10"/>
      <c r="D830" s="10"/>
      <c r="E830" s="10"/>
      <c r="F830" s="10"/>
      <c r="G830" s="10"/>
      <c r="H830" s="10"/>
      <c r="I830" s="10"/>
      <c r="M830" s="10"/>
      <c r="O830" s="10"/>
    </row>
    <row r="831">
      <c r="B831" s="10"/>
      <c r="C831" s="10"/>
      <c r="D831" s="10"/>
      <c r="E831" s="10"/>
      <c r="F831" s="10"/>
      <c r="G831" s="10"/>
      <c r="H831" s="10"/>
      <c r="I831" s="10"/>
      <c r="M831" s="10"/>
      <c r="O831" s="10"/>
    </row>
    <row r="832">
      <c r="B832" s="10"/>
      <c r="C832" s="10"/>
      <c r="D832" s="10"/>
      <c r="E832" s="10"/>
      <c r="F832" s="10"/>
      <c r="G832" s="10"/>
      <c r="H832" s="10"/>
      <c r="I832" s="10"/>
      <c r="M832" s="10"/>
      <c r="O832" s="10"/>
    </row>
    <row r="833">
      <c r="B833" s="10"/>
      <c r="C833" s="10"/>
      <c r="D833" s="10"/>
      <c r="E833" s="10"/>
      <c r="F833" s="10"/>
      <c r="G833" s="10"/>
      <c r="H833" s="10"/>
      <c r="I833" s="10"/>
      <c r="M833" s="10"/>
      <c r="O833" s="10"/>
    </row>
    <row r="834">
      <c r="B834" s="10"/>
      <c r="C834" s="10"/>
      <c r="D834" s="10"/>
      <c r="E834" s="10"/>
      <c r="F834" s="10"/>
      <c r="G834" s="10"/>
      <c r="H834" s="10"/>
      <c r="I834" s="10"/>
      <c r="M834" s="10"/>
      <c r="O834" s="10"/>
    </row>
    <row r="835">
      <c r="B835" s="10"/>
      <c r="C835" s="10"/>
      <c r="D835" s="10"/>
      <c r="E835" s="10"/>
      <c r="F835" s="10"/>
      <c r="G835" s="10"/>
      <c r="H835" s="10"/>
      <c r="I835" s="10"/>
      <c r="M835" s="10"/>
      <c r="O835" s="10"/>
    </row>
    <row r="836">
      <c r="B836" s="10"/>
      <c r="C836" s="10"/>
      <c r="D836" s="10"/>
      <c r="E836" s="10"/>
      <c r="F836" s="10"/>
      <c r="G836" s="10"/>
      <c r="H836" s="10"/>
      <c r="I836" s="10"/>
      <c r="M836" s="10"/>
      <c r="O836" s="10"/>
    </row>
    <row r="837">
      <c r="B837" s="10"/>
      <c r="C837" s="10"/>
      <c r="D837" s="10"/>
      <c r="E837" s="10"/>
      <c r="F837" s="10"/>
      <c r="G837" s="10"/>
      <c r="H837" s="10"/>
      <c r="I837" s="10"/>
      <c r="M837" s="10"/>
      <c r="O837" s="10"/>
    </row>
    <row r="838">
      <c r="B838" s="10"/>
      <c r="C838" s="10"/>
      <c r="D838" s="10"/>
      <c r="E838" s="10"/>
      <c r="F838" s="10"/>
      <c r="G838" s="10"/>
      <c r="H838" s="10"/>
      <c r="I838" s="10"/>
      <c r="M838" s="10"/>
      <c r="O838" s="10"/>
    </row>
    <row r="839">
      <c r="B839" s="10"/>
      <c r="C839" s="10"/>
      <c r="D839" s="10"/>
      <c r="E839" s="10"/>
      <c r="F839" s="10"/>
      <c r="G839" s="10"/>
      <c r="H839" s="10"/>
      <c r="I839" s="10"/>
      <c r="M839" s="10"/>
      <c r="O839" s="10"/>
    </row>
    <row r="840">
      <c r="B840" s="10"/>
      <c r="C840" s="10"/>
      <c r="D840" s="10"/>
      <c r="E840" s="10"/>
      <c r="F840" s="10"/>
      <c r="G840" s="10"/>
      <c r="H840" s="10"/>
      <c r="I840" s="10"/>
      <c r="M840" s="10"/>
      <c r="O840" s="10"/>
    </row>
    <row r="841">
      <c r="B841" s="10"/>
      <c r="C841" s="10"/>
      <c r="D841" s="10"/>
      <c r="E841" s="10"/>
      <c r="F841" s="10"/>
      <c r="G841" s="10"/>
      <c r="H841" s="10"/>
      <c r="I841" s="10"/>
      <c r="M841" s="10"/>
      <c r="O841" s="10"/>
    </row>
    <row r="842">
      <c r="B842" s="10"/>
      <c r="C842" s="10"/>
      <c r="D842" s="10"/>
      <c r="E842" s="10"/>
      <c r="F842" s="10"/>
      <c r="G842" s="10"/>
      <c r="H842" s="10"/>
      <c r="I842" s="10"/>
      <c r="M842" s="10"/>
      <c r="O842" s="10"/>
    </row>
    <row r="843">
      <c r="B843" s="10"/>
      <c r="C843" s="10"/>
      <c r="D843" s="10"/>
      <c r="E843" s="10"/>
      <c r="F843" s="10"/>
      <c r="G843" s="10"/>
      <c r="H843" s="10"/>
      <c r="I843" s="10"/>
      <c r="M843" s="10"/>
      <c r="O843" s="10"/>
    </row>
    <row r="844">
      <c r="B844" s="10"/>
      <c r="C844" s="10"/>
      <c r="D844" s="10"/>
      <c r="E844" s="10"/>
      <c r="F844" s="10"/>
      <c r="G844" s="10"/>
      <c r="H844" s="10"/>
      <c r="I844" s="10"/>
      <c r="M844" s="10"/>
      <c r="O844" s="10"/>
    </row>
    <row r="845">
      <c r="B845" s="10"/>
      <c r="C845" s="10"/>
      <c r="D845" s="10"/>
      <c r="E845" s="10"/>
      <c r="F845" s="10"/>
      <c r="G845" s="10"/>
      <c r="H845" s="10"/>
      <c r="I845" s="10"/>
      <c r="M845" s="10"/>
      <c r="O845" s="10"/>
    </row>
    <row r="846">
      <c r="B846" s="10"/>
      <c r="C846" s="10"/>
      <c r="D846" s="10"/>
      <c r="E846" s="10"/>
      <c r="F846" s="10"/>
      <c r="G846" s="10"/>
      <c r="H846" s="10"/>
      <c r="I846" s="10"/>
      <c r="M846" s="10"/>
      <c r="O846" s="10"/>
    </row>
    <row r="847">
      <c r="B847" s="10"/>
      <c r="C847" s="10"/>
      <c r="D847" s="10"/>
      <c r="E847" s="10"/>
      <c r="F847" s="10"/>
      <c r="G847" s="10"/>
      <c r="H847" s="10"/>
      <c r="I847" s="10"/>
      <c r="M847" s="10"/>
      <c r="O847" s="10"/>
    </row>
    <row r="848">
      <c r="B848" s="10"/>
      <c r="C848" s="10"/>
      <c r="D848" s="10"/>
      <c r="E848" s="10"/>
      <c r="F848" s="10"/>
      <c r="G848" s="10"/>
      <c r="H848" s="10"/>
      <c r="I848" s="10"/>
      <c r="M848" s="10"/>
      <c r="O848" s="10"/>
    </row>
    <row r="849">
      <c r="B849" s="10"/>
      <c r="C849" s="10"/>
      <c r="D849" s="10"/>
      <c r="E849" s="10"/>
      <c r="F849" s="10"/>
      <c r="G849" s="10"/>
      <c r="H849" s="10"/>
      <c r="I849" s="10"/>
      <c r="M849" s="10"/>
      <c r="O849" s="10"/>
    </row>
    <row r="850">
      <c r="B850" s="10"/>
      <c r="C850" s="10"/>
      <c r="D850" s="10"/>
      <c r="E850" s="10"/>
      <c r="F850" s="10"/>
      <c r="G850" s="10"/>
      <c r="H850" s="10"/>
      <c r="I850" s="10"/>
      <c r="M850" s="10"/>
      <c r="O850" s="10"/>
    </row>
    <row r="851">
      <c r="B851" s="10"/>
      <c r="C851" s="10"/>
      <c r="D851" s="10"/>
      <c r="E851" s="10"/>
      <c r="F851" s="10"/>
      <c r="G851" s="10"/>
      <c r="H851" s="10"/>
      <c r="I851" s="10"/>
      <c r="M851" s="10"/>
      <c r="O851" s="10"/>
    </row>
    <row r="852">
      <c r="B852" s="10"/>
      <c r="C852" s="10"/>
      <c r="D852" s="10"/>
      <c r="E852" s="10"/>
      <c r="F852" s="10"/>
      <c r="G852" s="10"/>
      <c r="H852" s="10"/>
      <c r="I852" s="10"/>
      <c r="M852" s="10"/>
      <c r="O852" s="10"/>
    </row>
    <row r="853">
      <c r="B853" s="10"/>
      <c r="C853" s="10"/>
      <c r="D853" s="10"/>
      <c r="E853" s="10"/>
      <c r="F853" s="10"/>
      <c r="G853" s="10"/>
      <c r="H853" s="10"/>
      <c r="I853" s="10"/>
      <c r="M853" s="10"/>
      <c r="O853" s="10"/>
    </row>
    <row r="854">
      <c r="B854" s="10"/>
      <c r="C854" s="10"/>
      <c r="D854" s="10"/>
      <c r="E854" s="10"/>
      <c r="F854" s="10"/>
      <c r="G854" s="10"/>
      <c r="H854" s="10"/>
      <c r="I854" s="10"/>
      <c r="M854" s="10"/>
      <c r="O854" s="10"/>
    </row>
    <row r="855">
      <c r="B855" s="10"/>
      <c r="C855" s="10"/>
      <c r="D855" s="10"/>
      <c r="E855" s="10"/>
      <c r="F855" s="10"/>
      <c r="G855" s="10"/>
      <c r="H855" s="10"/>
      <c r="I855" s="10"/>
      <c r="M855" s="10"/>
      <c r="O855" s="10"/>
    </row>
    <row r="856">
      <c r="B856" s="10"/>
      <c r="C856" s="10"/>
      <c r="D856" s="10"/>
      <c r="E856" s="10"/>
      <c r="F856" s="10"/>
      <c r="G856" s="10"/>
      <c r="H856" s="10"/>
      <c r="I856" s="10"/>
      <c r="M856" s="10"/>
      <c r="O856" s="10"/>
    </row>
    <row r="857">
      <c r="B857" s="10"/>
      <c r="C857" s="10"/>
      <c r="D857" s="10"/>
      <c r="E857" s="10"/>
      <c r="F857" s="10"/>
      <c r="G857" s="10"/>
      <c r="H857" s="10"/>
      <c r="I857" s="10"/>
      <c r="M857" s="10"/>
      <c r="O857" s="10"/>
    </row>
    <row r="858">
      <c r="B858" s="10"/>
      <c r="C858" s="10"/>
      <c r="D858" s="10"/>
      <c r="E858" s="10"/>
      <c r="F858" s="10"/>
      <c r="G858" s="10"/>
      <c r="H858" s="10"/>
      <c r="I858" s="10"/>
      <c r="M858" s="10"/>
      <c r="O858" s="10"/>
    </row>
    <row r="859">
      <c r="B859" s="10"/>
      <c r="C859" s="10"/>
      <c r="D859" s="10"/>
      <c r="E859" s="10"/>
      <c r="F859" s="10"/>
      <c r="G859" s="10"/>
      <c r="H859" s="10"/>
      <c r="I859" s="10"/>
      <c r="M859" s="10"/>
      <c r="O859" s="10"/>
    </row>
    <row r="860">
      <c r="B860" s="10"/>
      <c r="C860" s="10"/>
      <c r="D860" s="10"/>
      <c r="E860" s="10"/>
      <c r="F860" s="10"/>
      <c r="G860" s="10"/>
      <c r="H860" s="10"/>
      <c r="I860" s="10"/>
      <c r="M860" s="10"/>
      <c r="O860" s="10"/>
    </row>
    <row r="861">
      <c r="B861" s="10"/>
      <c r="C861" s="10"/>
      <c r="D861" s="10"/>
      <c r="E861" s="10"/>
      <c r="F861" s="10"/>
      <c r="G861" s="10"/>
      <c r="H861" s="10"/>
      <c r="I861" s="10"/>
      <c r="M861" s="10"/>
      <c r="O861" s="10"/>
    </row>
    <row r="862">
      <c r="B862" s="10"/>
      <c r="C862" s="10"/>
      <c r="D862" s="10"/>
      <c r="E862" s="10"/>
      <c r="F862" s="10"/>
      <c r="G862" s="10"/>
      <c r="H862" s="10"/>
      <c r="I862" s="10"/>
      <c r="M862" s="10"/>
      <c r="O862" s="10"/>
    </row>
    <row r="863">
      <c r="B863" s="10"/>
      <c r="C863" s="10"/>
      <c r="D863" s="10"/>
      <c r="E863" s="10"/>
      <c r="F863" s="10"/>
      <c r="G863" s="10"/>
      <c r="H863" s="10"/>
      <c r="I863" s="10"/>
      <c r="M863" s="10"/>
      <c r="O863" s="10"/>
    </row>
    <row r="864">
      <c r="B864" s="10"/>
      <c r="C864" s="10"/>
      <c r="D864" s="10"/>
      <c r="E864" s="10"/>
      <c r="F864" s="10"/>
      <c r="G864" s="10"/>
      <c r="H864" s="10"/>
      <c r="I864" s="10"/>
      <c r="M864" s="10"/>
      <c r="O864" s="10"/>
    </row>
    <row r="865">
      <c r="B865" s="10"/>
      <c r="C865" s="10"/>
      <c r="D865" s="10"/>
      <c r="E865" s="10"/>
      <c r="F865" s="10"/>
      <c r="G865" s="10"/>
      <c r="H865" s="10"/>
      <c r="I865" s="10"/>
      <c r="M865" s="10"/>
      <c r="O865" s="10"/>
    </row>
    <row r="866">
      <c r="B866" s="10"/>
      <c r="C866" s="10"/>
      <c r="D866" s="10"/>
      <c r="E866" s="10"/>
      <c r="F866" s="10"/>
      <c r="G866" s="10"/>
      <c r="H866" s="10"/>
      <c r="I866" s="10"/>
      <c r="M866" s="10"/>
      <c r="O866" s="10"/>
    </row>
    <row r="867">
      <c r="B867" s="10"/>
      <c r="C867" s="10"/>
      <c r="D867" s="10"/>
      <c r="E867" s="10"/>
      <c r="F867" s="10"/>
      <c r="G867" s="10"/>
      <c r="H867" s="10"/>
      <c r="I867" s="10"/>
      <c r="M867" s="10"/>
      <c r="O867" s="10"/>
    </row>
    <row r="868">
      <c r="B868" s="10"/>
      <c r="C868" s="10"/>
      <c r="D868" s="10"/>
      <c r="E868" s="10"/>
      <c r="F868" s="10"/>
      <c r="G868" s="10"/>
      <c r="H868" s="10"/>
      <c r="I868" s="10"/>
      <c r="M868" s="10"/>
      <c r="O868" s="10"/>
    </row>
    <row r="869">
      <c r="B869" s="10"/>
      <c r="C869" s="10"/>
      <c r="D869" s="10"/>
      <c r="E869" s="10"/>
      <c r="F869" s="10"/>
      <c r="G869" s="10"/>
      <c r="H869" s="10"/>
      <c r="I869" s="10"/>
      <c r="M869" s="10"/>
      <c r="O869" s="10"/>
    </row>
    <row r="870">
      <c r="B870" s="10"/>
      <c r="C870" s="10"/>
      <c r="D870" s="10"/>
      <c r="E870" s="10"/>
      <c r="F870" s="10"/>
      <c r="G870" s="10"/>
      <c r="H870" s="10"/>
      <c r="I870" s="10"/>
      <c r="M870" s="10"/>
      <c r="O870" s="10"/>
    </row>
    <row r="871">
      <c r="B871" s="10"/>
      <c r="C871" s="10"/>
      <c r="D871" s="10"/>
      <c r="E871" s="10"/>
      <c r="F871" s="10"/>
      <c r="G871" s="10"/>
      <c r="H871" s="10"/>
      <c r="I871" s="10"/>
      <c r="M871" s="10"/>
      <c r="O871" s="10"/>
    </row>
    <row r="872">
      <c r="B872" s="10"/>
      <c r="C872" s="10"/>
      <c r="D872" s="10"/>
      <c r="E872" s="10"/>
      <c r="F872" s="10"/>
      <c r="G872" s="10"/>
      <c r="H872" s="10"/>
      <c r="I872" s="10"/>
      <c r="M872" s="10"/>
      <c r="O872" s="10"/>
    </row>
    <row r="873">
      <c r="B873" s="10"/>
      <c r="C873" s="10"/>
      <c r="D873" s="10"/>
      <c r="E873" s="10"/>
      <c r="F873" s="10"/>
      <c r="G873" s="10"/>
      <c r="H873" s="10"/>
      <c r="I873" s="10"/>
      <c r="M873" s="10"/>
      <c r="O873" s="10"/>
    </row>
    <row r="874">
      <c r="B874" s="10"/>
      <c r="C874" s="10"/>
      <c r="D874" s="10"/>
      <c r="E874" s="10"/>
      <c r="F874" s="10"/>
      <c r="G874" s="10"/>
      <c r="H874" s="10"/>
      <c r="I874" s="10"/>
      <c r="M874" s="10"/>
      <c r="O874" s="10"/>
    </row>
    <row r="875">
      <c r="B875" s="10"/>
      <c r="C875" s="10"/>
      <c r="D875" s="10"/>
      <c r="E875" s="10"/>
      <c r="F875" s="10"/>
      <c r="G875" s="10"/>
      <c r="H875" s="10"/>
      <c r="I875" s="10"/>
      <c r="M875" s="10"/>
      <c r="O875" s="10"/>
    </row>
    <row r="876">
      <c r="B876" s="10"/>
      <c r="C876" s="10"/>
      <c r="D876" s="10"/>
      <c r="E876" s="10"/>
      <c r="F876" s="10"/>
      <c r="G876" s="10"/>
      <c r="H876" s="10"/>
      <c r="I876" s="10"/>
      <c r="M876" s="10"/>
      <c r="O876" s="10"/>
    </row>
    <row r="877">
      <c r="B877" s="10"/>
      <c r="C877" s="10"/>
      <c r="D877" s="10"/>
      <c r="E877" s="10"/>
      <c r="F877" s="10"/>
      <c r="G877" s="10"/>
      <c r="H877" s="10"/>
      <c r="I877" s="10"/>
      <c r="M877" s="10"/>
      <c r="O877" s="10"/>
    </row>
    <row r="878">
      <c r="B878" s="10"/>
      <c r="C878" s="10"/>
      <c r="D878" s="10"/>
      <c r="E878" s="10"/>
      <c r="F878" s="10"/>
      <c r="G878" s="10"/>
      <c r="H878" s="10"/>
      <c r="I878" s="10"/>
      <c r="M878" s="10"/>
      <c r="O878" s="10"/>
    </row>
    <row r="879">
      <c r="B879" s="10"/>
      <c r="C879" s="10"/>
      <c r="D879" s="10"/>
      <c r="E879" s="10"/>
      <c r="F879" s="10"/>
      <c r="G879" s="10"/>
      <c r="H879" s="10"/>
      <c r="I879" s="10"/>
      <c r="M879" s="10"/>
      <c r="O879" s="10"/>
    </row>
    <row r="880">
      <c r="B880" s="10"/>
      <c r="C880" s="10"/>
      <c r="D880" s="10"/>
      <c r="E880" s="10"/>
      <c r="F880" s="10"/>
      <c r="G880" s="10"/>
      <c r="H880" s="10"/>
      <c r="I880" s="10"/>
      <c r="M880" s="10"/>
      <c r="O880" s="10"/>
    </row>
    <row r="881">
      <c r="B881" s="10"/>
      <c r="C881" s="10"/>
      <c r="D881" s="10"/>
      <c r="E881" s="10"/>
      <c r="F881" s="10"/>
      <c r="G881" s="10"/>
      <c r="H881" s="10"/>
      <c r="I881" s="10"/>
      <c r="M881" s="10"/>
      <c r="O881" s="10"/>
    </row>
    <row r="882">
      <c r="B882" s="10"/>
      <c r="C882" s="10"/>
      <c r="D882" s="10"/>
      <c r="E882" s="10"/>
      <c r="F882" s="10"/>
      <c r="G882" s="10"/>
      <c r="H882" s="10"/>
      <c r="I882" s="10"/>
      <c r="M882" s="10"/>
      <c r="O882" s="10"/>
    </row>
    <row r="883">
      <c r="B883" s="10"/>
      <c r="C883" s="10"/>
      <c r="D883" s="10"/>
      <c r="E883" s="10"/>
      <c r="F883" s="10"/>
      <c r="G883" s="10"/>
      <c r="H883" s="10"/>
      <c r="I883" s="10"/>
      <c r="M883" s="10"/>
      <c r="O883" s="10"/>
    </row>
    <row r="884">
      <c r="B884" s="10"/>
      <c r="C884" s="10"/>
      <c r="D884" s="10"/>
      <c r="E884" s="10"/>
      <c r="F884" s="10"/>
      <c r="G884" s="10"/>
      <c r="H884" s="10"/>
      <c r="I884" s="10"/>
      <c r="M884" s="10"/>
      <c r="O884" s="10"/>
    </row>
    <row r="885">
      <c r="B885" s="10"/>
      <c r="C885" s="10"/>
      <c r="D885" s="10"/>
      <c r="E885" s="10"/>
      <c r="F885" s="10"/>
      <c r="G885" s="10"/>
      <c r="H885" s="10"/>
      <c r="I885" s="10"/>
      <c r="M885" s="10"/>
      <c r="O885" s="10"/>
    </row>
    <row r="886">
      <c r="B886" s="10"/>
      <c r="C886" s="10"/>
      <c r="D886" s="10"/>
      <c r="E886" s="10"/>
      <c r="F886" s="10"/>
      <c r="G886" s="10"/>
      <c r="H886" s="10"/>
      <c r="I886" s="10"/>
      <c r="M886" s="10"/>
      <c r="O886" s="10"/>
    </row>
    <row r="887">
      <c r="B887" s="10"/>
      <c r="C887" s="10"/>
      <c r="D887" s="10"/>
      <c r="E887" s="10"/>
      <c r="F887" s="10"/>
      <c r="G887" s="10"/>
      <c r="H887" s="10"/>
      <c r="I887" s="10"/>
      <c r="M887" s="10"/>
      <c r="O887" s="10"/>
    </row>
    <row r="888">
      <c r="B888" s="10"/>
      <c r="C888" s="10"/>
      <c r="D888" s="10"/>
      <c r="E888" s="10"/>
      <c r="F888" s="10"/>
      <c r="G888" s="10"/>
      <c r="H888" s="10"/>
      <c r="I888" s="10"/>
      <c r="M888" s="10"/>
      <c r="O888" s="10"/>
    </row>
    <row r="889">
      <c r="B889" s="10"/>
      <c r="C889" s="10"/>
      <c r="D889" s="10"/>
      <c r="E889" s="10"/>
      <c r="F889" s="10"/>
      <c r="G889" s="10"/>
      <c r="H889" s="10"/>
      <c r="I889" s="10"/>
      <c r="M889" s="10"/>
      <c r="O889" s="10"/>
    </row>
    <row r="890">
      <c r="B890" s="10"/>
      <c r="C890" s="10"/>
      <c r="D890" s="10"/>
      <c r="E890" s="10"/>
      <c r="F890" s="10"/>
      <c r="G890" s="10"/>
      <c r="H890" s="10"/>
      <c r="I890" s="10"/>
      <c r="M890" s="10"/>
      <c r="O890" s="10"/>
    </row>
    <row r="891">
      <c r="B891" s="10"/>
      <c r="C891" s="10"/>
      <c r="D891" s="10"/>
      <c r="E891" s="10"/>
      <c r="F891" s="10"/>
      <c r="G891" s="10"/>
      <c r="H891" s="10"/>
      <c r="I891" s="10"/>
      <c r="M891" s="10"/>
      <c r="O891" s="10"/>
    </row>
    <row r="892">
      <c r="B892" s="10"/>
      <c r="C892" s="10"/>
      <c r="D892" s="10"/>
      <c r="E892" s="10"/>
      <c r="F892" s="10"/>
      <c r="G892" s="10"/>
      <c r="H892" s="10"/>
      <c r="I892" s="10"/>
      <c r="M892" s="10"/>
      <c r="O892" s="10"/>
    </row>
    <row r="893">
      <c r="B893" s="10"/>
      <c r="C893" s="10"/>
      <c r="D893" s="10"/>
      <c r="E893" s="10"/>
      <c r="F893" s="10"/>
      <c r="G893" s="10"/>
      <c r="H893" s="10"/>
      <c r="I893" s="10"/>
      <c r="M893" s="10"/>
      <c r="O893" s="10"/>
    </row>
    <row r="894">
      <c r="B894" s="10"/>
      <c r="C894" s="10"/>
      <c r="D894" s="10"/>
      <c r="E894" s="10"/>
      <c r="F894" s="10"/>
      <c r="G894" s="10"/>
      <c r="H894" s="10"/>
      <c r="I894" s="10"/>
      <c r="M894" s="10"/>
      <c r="O894" s="10"/>
    </row>
    <row r="895">
      <c r="B895" s="10"/>
      <c r="C895" s="10"/>
      <c r="D895" s="10"/>
      <c r="E895" s="10"/>
      <c r="F895" s="10"/>
      <c r="G895" s="10"/>
      <c r="H895" s="10"/>
      <c r="I895" s="10"/>
      <c r="M895" s="10"/>
      <c r="O895" s="10"/>
    </row>
    <row r="896">
      <c r="B896" s="10"/>
      <c r="C896" s="10"/>
      <c r="D896" s="10"/>
      <c r="E896" s="10"/>
      <c r="F896" s="10"/>
      <c r="G896" s="10"/>
      <c r="H896" s="10"/>
      <c r="I896" s="10"/>
      <c r="M896" s="10"/>
      <c r="O896" s="10"/>
    </row>
    <row r="897">
      <c r="B897" s="10"/>
      <c r="C897" s="10"/>
      <c r="D897" s="10"/>
      <c r="E897" s="10"/>
      <c r="F897" s="10"/>
      <c r="G897" s="10"/>
      <c r="H897" s="10"/>
      <c r="I897" s="10"/>
      <c r="M897" s="10"/>
      <c r="O897" s="10"/>
    </row>
    <row r="898">
      <c r="B898" s="10"/>
      <c r="C898" s="10"/>
      <c r="D898" s="10"/>
      <c r="E898" s="10"/>
      <c r="F898" s="10"/>
      <c r="G898" s="10"/>
      <c r="H898" s="10"/>
      <c r="I898" s="10"/>
      <c r="M898" s="10"/>
      <c r="O898" s="10"/>
    </row>
    <row r="899">
      <c r="B899" s="10"/>
      <c r="C899" s="10"/>
      <c r="D899" s="10"/>
      <c r="E899" s="10"/>
      <c r="F899" s="10"/>
      <c r="G899" s="10"/>
      <c r="H899" s="10"/>
      <c r="I899" s="10"/>
      <c r="M899" s="10"/>
      <c r="O899" s="10"/>
    </row>
    <row r="900">
      <c r="B900" s="10"/>
      <c r="C900" s="10"/>
      <c r="D900" s="10"/>
      <c r="E900" s="10"/>
      <c r="F900" s="10"/>
      <c r="G900" s="10"/>
      <c r="H900" s="10"/>
      <c r="I900" s="10"/>
      <c r="M900" s="10"/>
      <c r="O900" s="10"/>
    </row>
    <row r="901">
      <c r="B901" s="10"/>
      <c r="C901" s="10"/>
      <c r="D901" s="10"/>
      <c r="E901" s="10"/>
      <c r="F901" s="10"/>
      <c r="G901" s="10"/>
      <c r="H901" s="10"/>
      <c r="I901" s="10"/>
      <c r="M901" s="10"/>
      <c r="O901" s="10"/>
    </row>
    <row r="902">
      <c r="B902" s="10"/>
      <c r="C902" s="10"/>
      <c r="D902" s="10"/>
      <c r="E902" s="10"/>
      <c r="F902" s="10"/>
      <c r="G902" s="10"/>
      <c r="H902" s="10"/>
      <c r="I902" s="10"/>
      <c r="M902" s="10"/>
      <c r="O902" s="10"/>
    </row>
    <row r="903">
      <c r="B903" s="10"/>
      <c r="C903" s="10"/>
      <c r="D903" s="10"/>
      <c r="E903" s="10"/>
      <c r="F903" s="10"/>
      <c r="G903" s="10"/>
      <c r="H903" s="10"/>
      <c r="I903" s="10"/>
      <c r="M903" s="10"/>
      <c r="O903" s="10"/>
    </row>
    <row r="904">
      <c r="B904" s="10"/>
      <c r="C904" s="10"/>
      <c r="D904" s="10"/>
      <c r="E904" s="10"/>
      <c r="F904" s="10"/>
      <c r="G904" s="10"/>
      <c r="H904" s="10"/>
      <c r="I904" s="10"/>
      <c r="M904" s="10"/>
      <c r="O904" s="10"/>
    </row>
    <row r="905">
      <c r="B905" s="10"/>
      <c r="C905" s="10"/>
      <c r="D905" s="10"/>
      <c r="E905" s="10"/>
      <c r="F905" s="10"/>
      <c r="G905" s="10"/>
      <c r="H905" s="10"/>
      <c r="I905" s="10"/>
      <c r="M905" s="10"/>
      <c r="O905" s="10"/>
    </row>
    <row r="906">
      <c r="B906" s="10"/>
      <c r="C906" s="10"/>
      <c r="D906" s="10"/>
      <c r="E906" s="10"/>
      <c r="F906" s="10"/>
      <c r="G906" s="10"/>
      <c r="H906" s="10"/>
      <c r="I906" s="10"/>
      <c r="M906" s="10"/>
      <c r="O906" s="10"/>
    </row>
    <row r="907">
      <c r="B907" s="10"/>
      <c r="C907" s="10"/>
      <c r="D907" s="10"/>
      <c r="E907" s="10"/>
      <c r="F907" s="10"/>
      <c r="G907" s="10"/>
      <c r="H907" s="10"/>
      <c r="I907" s="10"/>
      <c r="M907" s="10"/>
      <c r="O907" s="10"/>
    </row>
    <row r="908">
      <c r="B908" s="10"/>
      <c r="C908" s="10"/>
      <c r="D908" s="10"/>
      <c r="E908" s="10"/>
      <c r="F908" s="10"/>
      <c r="G908" s="10"/>
      <c r="H908" s="10"/>
      <c r="I908" s="10"/>
      <c r="M908" s="10"/>
      <c r="O908" s="10"/>
    </row>
    <row r="909">
      <c r="B909" s="10"/>
      <c r="C909" s="10"/>
      <c r="D909" s="10"/>
      <c r="E909" s="10"/>
      <c r="F909" s="10"/>
      <c r="G909" s="10"/>
      <c r="H909" s="10"/>
      <c r="I909" s="10"/>
      <c r="M909" s="10"/>
      <c r="O909" s="10"/>
    </row>
    <row r="910">
      <c r="B910" s="10"/>
      <c r="C910" s="10"/>
      <c r="D910" s="10"/>
      <c r="E910" s="10"/>
      <c r="F910" s="10"/>
      <c r="G910" s="10"/>
      <c r="H910" s="10"/>
      <c r="I910" s="10"/>
      <c r="M910" s="10"/>
      <c r="O910" s="10"/>
    </row>
    <row r="911">
      <c r="B911" s="10"/>
      <c r="C911" s="10"/>
      <c r="D911" s="10"/>
      <c r="E911" s="10"/>
      <c r="F911" s="10"/>
      <c r="G911" s="10"/>
      <c r="H911" s="10"/>
      <c r="I911" s="10"/>
      <c r="M911" s="10"/>
      <c r="O911" s="10"/>
    </row>
    <row r="912">
      <c r="B912" s="10"/>
      <c r="C912" s="10"/>
      <c r="D912" s="10"/>
      <c r="E912" s="10"/>
      <c r="F912" s="10"/>
      <c r="G912" s="10"/>
      <c r="H912" s="10"/>
      <c r="I912" s="10"/>
      <c r="M912" s="10"/>
      <c r="O912" s="10"/>
    </row>
    <row r="913">
      <c r="B913" s="10"/>
      <c r="C913" s="10"/>
      <c r="D913" s="10"/>
      <c r="E913" s="10"/>
      <c r="F913" s="10"/>
      <c r="G913" s="10"/>
      <c r="H913" s="10"/>
      <c r="I913" s="10"/>
      <c r="M913" s="10"/>
      <c r="O913" s="10"/>
    </row>
    <row r="914">
      <c r="B914" s="10"/>
      <c r="C914" s="10"/>
      <c r="D914" s="10"/>
      <c r="E914" s="10"/>
      <c r="F914" s="10"/>
      <c r="G914" s="10"/>
      <c r="H914" s="10"/>
      <c r="I914" s="10"/>
      <c r="M914" s="10"/>
      <c r="O914" s="10"/>
    </row>
    <row r="915">
      <c r="B915" s="10"/>
      <c r="C915" s="10"/>
      <c r="D915" s="10"/>
      <c r="E915" s="10"/>
      <c r="F915" s="10"/>
      <c r="G915" s="10"/>
      <c r="H915" s="10"/>
      <c r="I915" s="10"/>
      <c r="M915" s="10"/>
      <c r="O915" s="10"/>
    </row>
    <row r="916">
      <c r="B916" s="10"/>
      <c r="C916" s="10"/>
      <c r="D916" s="10"/>
      <c r="E916" s="10"/>
      <c r="F916" s="10"/>
      <c r="G916" s="10"/>
      <c r="H916" s="10"/>
      <c r="I916" s="10"/>
      <c r="M916" s="10"/>
      <c r="O916" s="10"/>
    </row>
    <row r="917">
      <c r="B917" s="10"/>
      <c r="C917" s="10"/>
      <c r="D917" s="10"/>
      <c r="E917" s="10"/>
      <c r="F917" s="10"/>
      <c r="G917" s="10"/>
      <c r="H917" s="10"/>
      <c r="I917" s="10"/>
      <c r="M917" s="10"/>
      <c r="O917" s="10"/>
    </row>
    <row r="918">
      <c r="B918" s="10"/>
      <c r="C918" s="10"/>
      <c r="D918" s="10"/>
      <c r="E918" s="10"/>
      <c r="F918" s="10"/>
      <c r="G918" s="10"/>
      <c r="H918" s="10"/>
      <c r="I918" s="10"/>
      <c r="M918" s="10"/>
      <c r="O918" s="10"/>
    </row>
    <row r="919">
      <c r="B919" s="10"/>
      <c r="C919" s="10"/>
      <c r="D919" s="10"/>
      <c r="E919" s="10"/>
      <c r="F919" s="10"/>
      <c r="G919" s="10"/>
      <c r="H919" s="10"/>
      <c r="I919" s="10"/>
      <c r="M919" s="10"/>
      <c r="O919" s="10"/>
    </row>
    <row r="920">
      <c r="B920" s="10"/>
      <c r="C920" s="10"/>
      <c r="D920" s="10"/>
      <c r="E920" s="10"/>
      <c r="F920" s="10"/>
      <c r="G920" s="10"/>
      <c r="H920" s="10"/>
      <c r="I920" s="10"/>
      <c r="M920" s="10"/>
      <c r="O920" s="10"/>
    </row>
    <row r="921">
      <c r="B921" s="10"/>
      <c r="C921" s="10"/>
      <c r="D921" s="10"/>
      <c r="E921" s="10"/>
      <c r="F921" s="10"/>
      <c r="G921" s="10"/>
      <c r="H921" s="10"/>
      <c r="I921" s="10"/>
      <c r="M921" s="10"/>
      <c r="O921" s="10"/>
    </row>
    <row r="922">
      <c r="B922" s="10"/>
      <c r="C922" s="10"/>
      <c r="D922" s="10"/>
      <c r="E922" s="10"/>
      <c r="F922" s="10"/>
      <c r="G922" s="10"/>
      <c r="H922" s="10"/>
      <c r="I922" s="10"/>
      <c r="M922" s="10"/>
      <c r="O922" s="10"/>
    </row>
    <row r="923">
      <c r="B923" s="10"/>
      <c r="C923" s="10"/>
      <c r="D923" s="10"/>
      <c r="E923" s="10"/>
      <c r="F923" s="10"/>
      <c r="G923" s="10"/>
      <c r="H923" s="10"/>
      <c r="I923" s="10"/>
      <c r="M923" s="10"/>
      <c r="O923" s="10"/>
    </row>
    <row r="924">
      <c r="B924" s="10"/>
      <c r="C924" s="10"/>
      <c r="D924" s="10"/>
      <c r="E924" s="10"/>
      <c r="F924" s="10"/>
      <c r="G924" s="10"/>
      <c r="H924" s="10"/>
      <c r="I924" s="10"/>
      <c r="M924" s="10"/>
      <c r="O924" s="10"/>
    </row>
    <row r="925">
      <c r="B925" s="10"/>
      <c r="C925" s="10"/>
      <c r="D925" s="10"/>
      <c r="E925" s="10"/>
      <c r="F925" s="10"/>
      <c r="G925" s="10"/>
      <c r="H925" s="10"/>
      <c r="I925" s="10"/>
      <c r="M925" s="10"/>
      <c r="O925" s="10"/>
    </row>
    <row r="926">
      <c r="B926" s="10"/>
      <c r="C926" s="10"/>
      <c r="D926" s="10"/>
      <c r="E926" s="10"/>
      <c r="F926" s="10"/>
      <c r="G926" s="10"/>
      <c r="H926" s="10"/>
      <c r="I926" s="10"/>
      <c r="M926" s="10"/>
      <c r="O926" s="10"/>
    </row>
    <row r="927">
      <c r="B927" s="10"/>
      <c r="C927" s="10"/>
      <c r="D927" s="10"/>
      <c r="E927" s="10"/>
      <c r="F927" s="10"/>
      <c r="G927" s="10"/>
      <c r="H927" s="10"/>
      <c r="I927" s="10"/>
      <c r="M927" s="10"/>
      <c r="O927" s="10"/>
    </row>
    <row r="928">
      <c r="B928" s="10"/>
      <c r="C928" s="10"/>
      <c r="D928" s="10"/>
      <c r="E928" s="10"/>
      <c r="F928" s="10"/>
      <c r="G928" s="10"/>
      <c r="H928" s="10"/>
      <c r="I928" s="10"/>
      <c r="M928" s="10"/>
      <c r="O928" s="10"/>
    </row>
    <row r="929">
      <c r="B929" s="10"/>
      <c r="C929" s="10"/>
      <c r="D929" s="10"/>
      <c r="E929" s="10"/>
      <c r="F929" s="10"/>
      <c r="G929" s="10"/>
      <c r="H929" s="10"/>
      <c r="I929" s="10"/>
      <c r="M929" s="10"/>
      <c r="O929" s="10"/>
    </row>
    <row r="930">
      <c r="B930" s="10"/>
      <c r="C930" s="10"/>
      <c r="D930" s="10"/>
      <c r="E930" s="10"/>
      <c r="F930" s="10"/>
      <c r="G930" s="10"/>
      <c r="H930" s="10"/>
      <c r="I930" s="10"/>
      <c r="M930" s="10"/>
      <c r="O930" s="10"/>
    </row>
    <row r="931">
      <c r="B931" s="10"/>
      <c r="C931" s="10"/>
      <c r="D931" s="10"/>
      <c r="E931" s="10"/>
      <c r="F931" s="10"/>
      <c r="G931" s="10"/>
      <c r="H931" s="10"/>
      <c r="I931" s="10"/>
      <c r="M931" s="10"/>
      <c r="O931" s="10"/>
    </row>
    <row r="932">
      <c r="B932" s="10"/>
      <c r="C932" s="10"/>
      <c r="D932" s="10"/>
      <c r="E932" s="10"/>
      <c r="F932" s="10"/>
      <c r="G932" s="10"/>
      <c r="H932" s="10"/>
      <c r="I932" s="10"/>
      <c r="M932" s="10"/>
      <c r="O932" s="10"/>
    </row>
    <row r="933">
      <c r="B933" s="10"/>
      <c r="C933" s="10"/>
      <c r="D933" s="10"/>
      <c r="E933" s="10"/>
      <c r="F933" s="10"/>
      <c r="G933" s="10"/>
      <c r="H933" s="10"/>
      <c r="I933" s="10"/>
      <c r="M933" s="10"/>
      <c r="O933" s="10"/>
    </row>
    <row r="934">
      <c r="B934" s="10"/>
      <c r="C934" s="10"/>
      <c r="D934" s="10"/>
      <c r="E934" s="10"/>
      <c r="F934" s="10"/>
      <c r="G934" s="10"/>
      <c r="H934" s="10"/>
      <c r="I934" s="10"/>
      <c r="M934" s="10"/>
      <c r="O934" s="10"/>
    </row>
    <row r="935">
      <c r="B935" s="10"/>
      <c r="C935" s="10"/>
      <c r="D935" s="10"/>
      <c r="E935" s="10"/>
      <c r="F935" s="10"/>
      <c r="G935" s="10"/>
      <c r="H935" s="10"/>
      <c r="I935" s="10"/>
      <c r="M935" s="10"/>
      <c r="O935" s="10"/>
    </row>
    <row r="936">
      <c r="B936" s="10"/>
      <c r="C936" s="10"/>
      <c r="D936" s="10"/>
      <c r="E936" s="10"/>
      <c r="F936" s="10"/>
      <c r="G936" s="10"/>
      <c r="H936" s="10"/>
      <c r="I936" s="10"/>
      <c r="M936" s="10"/>
      <c r="O936" s="10"/>
    </row>
    <row r="937">
      <c r="B937" s="10"/>
      <c r="C937" s="10"/>
      <c r="D937" s="10"/>
      <c r="E937" s="10"/>
      <c r="F937" s="10"/>
      <c r="G937" s="10"/>
      <c r="H937" s="10"/>
      <c r="I937" s="10"/>
      <c r="M937" s="10"/>
      <c r="O937" s="10"/>
    </row>
    <row r="938">
      <c r="B938" s="10"/>
      <c r="C938" s="10"/>
      <c r="D938" s="10"/>
      <c r="E938" s="10"/>
      <c r="F938" s="10"/>
      <c r="G938" s="10"/>
      <c r="H938" s="10"/>
      <c r="I938" s="10"/>
      <c r="M938" s="10"/>
      <c r="O938" s="10"/>
    </row>
    <row r="939">
      <c r="B939" s="10"/>
      <c r="C939" s="10"/>
      <c r="D939" s="10"/>
      <c r="E939" s="10"/>
      <c r="F939" s="10"/>
      <c r="G939" s="10"/>
      <c r="H939" s="10"/>
      <c r="I939" s="10"/>
      <c r="M939" s="10"/>
      <c r="O939" s="10"/>
    </row>
    <row r="940">
      <c r="B940" s="10"/>
      <c r="C940" s="10"/>
      <c r="D940" s="10"/>
      <c r="E940" s="10"/>
      <c r="F940" s="10"/>
      <c r="G940" s="10"/>
      <c r="H940" s="10"/>
      <c r="I940" s="10"/>
      <c r="M940" s="10"/>
      <c r="O940" s="10"/>
    </row>
    <row r="941">
      <c r="B941" s="10"/>
      <c r="C941" s="10"/>
      <c r="D941" s="10"/>
      <c r="E941" s="10"/>
      <c r="F941" s="10"/>
      <c r="G941" s="10"/>
      <c r="H941" s="10"/>
      <c r="I941" s="10"/>
      <c r="M941" s="10"/>
      <c r="O941" s="10"/>
    </row>
    <row r="942">
      <c r="B942" s="10"/>
      <c r="C942" s="10"/>
      <c r="D942" s="10"/>
      <c r="E942" s="10"/>
      <c r="F942" s="10"/>
      <c r="G942" s="10"/>
      <c r="H942" s="10"/>
      <c r="I942" s="10"/>
      <c r="M942" s="10"/>
      <c r="O942" s="10"/>
    </row>
    <row r="943">
      <c r="B943" s="10"/>
      <c r="C943" s="10"/>
      <c r="D943" s="10"/>
      <c r="E943" s="10"/>
      <c r="F943" s="10"/>
      <c r="G943" s="10"/>
      <c r="H943" s="10"/>
      <c r="I943" s="10"/>
      <c r="M943" s="10"/>
      <c r="O943" s="10"/>
    </row>
    <row r="944">
      <c r="B944" s="10"/>
      <c r="C944" s="10"/>
      <c r="D944" s="10"/>
      <c r="E944" s="10"/>
      <c r="F944" s="10"/>
      <c r="G944" s="10"/>
      <c r="H944" s="10"/>
      <c r="I944" s="10"/>
      <c r="M944" s="10"/>
      <c r="O944" s="10"/>
    </row>
    <row r="945">
      <c r="B945" s="10"/>
      <c r="C945" s="10"/>
      <c r="D945" s="10"/>
      <c r="E945" s="10"/>
      <c r="F945" s="10"/>
      <c r="G945" s="10"/>
      <c r="H945" s="10"/>
      <c r="I945" s="10"/>
      <c r="M945" s="10"/>
      <c r="O945" s="10"/>
    </row>
    <row r="946">
      <c r="B946" s="10"/>
      <c r="C946" s="10"/>
      <c r="D946" s="10"/>
      <c r="E946" s="10"/>
      <c r="F946" s="10"/>
      <c r="G946" s="10"/>
      <c r="H946" s="10"/>
      <c r="I946" s="10"/>
      <c r="M946" s="10"/>
      <c r="O946" s="10"/>
    </row>
    <row r="947">
      <c r="B947" s="10"/>
      <c r="C947" s="10"/>
      <c r="D947" s="10"/>
      <c r="E947" s="10"/>
      <c r="F947" s="10"/>
      <c r="G947" s="10"/>
      <c r="H947" s="10"/>
      <c r="I947" s="10"/>
      <c r="M947" s="10"/>
      <c r="O947" s="10"/>
    </row>
    <row r="948">
      <c r="B948" s="10"/>
      <c r="C948" s="10"/>
      <c r="D948" s="10"/>
      <c r="E948" s="10"/>
      <c r="F948" s="10"/>
      <c r="G948" s="10"/>
      <c r="H948" s="10"/>
      <c r="I948" s="10"/>
      <c r="M948" s="10"/>
      <c r="O948" s="10"/>
    </row>
    <row r="949">
      <c r="B949" s="10"/>
      <c r="C949" s="10"/>
      <c r="D949" s="10"/>
      <c r="E949" s="10"/>
      <c r="F949" s="10"/>
      <c r="G949" s="10"/>
      <c r="H949" s="10"/>
      <c r="I949" s="10"/>
      <c r="M949" s="10"/>
      <c r="O949" s="10"/>
    </row>
    <row r="950">
      <c r="B950" s="10"/>
      <c r="C950" s="10"/>
      <c r="D950" s="10"/>
      <c r="E950" s="10"/>
      <c r="F950" s="10"/>
      <c r="G950" s="10"/>
      <c r="H950" s="10"/>
      <c r="I950" s="10"/>
      <c r="M950" s="10"/>
      <c r="O950" s="10"/>
    </row>
    <row r="951">
      <c r="B951" s="10"/>
      <c r="C951" s="10"/>
      <c r="D951" s="10"/>
      <c r="E951" s="10"/>
      <c r="F951" s="10"/>
      <c r="G951" s="10"/>
      <c r="H951" s="10"/>
      <c r="I951" s="10"/>
      <c r="M951" s="10"/>
      <c r="O951" s="10"/>
    </row>
    <row r="952">
      <c r="B952" s="10"/>
      <c r="C952" s="10"/>
      <c r="D952" s="10"/>
      <c r="E952" s="10"/>
      <c r="F952" s="10"/>
      <c r="G952" s="10"/>
      <c r="H952" s="10"/>
      <c r="I952" s="10"/>
      <c r="M952" s="10"/>
      <c r="O952" s="10"/>
    </row>
    <row r="953">
      <c r="B953" s="10"/>
      <c r="C953" s="10"/>
      <c r="D953" s="10"/>
      <c r="E953" s="10"/>
      <c r="F953" s="10"/>
      <c r="G953" s="10"/>
      <c r="H953" s="10"/>
      <c r="I953" s="10"/>
      <c r="M953" s="10"/>
      <c r="O953" s="10"/>
    </row>
    <row r="954">
      <c r="B954" s="10"/>
      <c r="C954" s="10"/>
      <c r="D954" s="10"/>
      <c r="E954" s="10"/>
      <c r="F954" s="10"/>
      <c r="G954" s="10"/>
      <c r="H954" s="10"/>
      <c r="I954" s="10"/>
      <c r="M954" s="10"/>
      <c r="O954" s="10"/>
    </row>
    <row r="955">
      <c r="B955" s="10"/>
      <c r="C955" s="10"/>
      <c r="D955" s="10"/>
      <c r="E955" s="10"/>
      <c r="F955" s="10"/>
      <c r="G955" s="10"/>
      <c r="H955" s="10"/>
      <c r="I955" s="10"/>
      <c r="M955" s="10"/>
      <c r="O955" s="10"/>
    </row>
    <row r="956">
      <c r="B956" s="10"/>
      <c r="C956" s="10"/>
      <c r="D956" s="10"/>
      <c r="E956" s="10"/>
      <c r="F956" s="10"/>
      <c r="G956" s="10"/>
      <c r="H956" s="10"/>
      <c r="I956" s="10"/>
      <c r="M956" s="10"/>
      <c r="O956" s="10"/>
    </row>
    <row r="957">
      <c r="B957" s="10"/>
      <c r="C957" s="10"/>
      <c r="D957" s="10"/>
      <c r="E957" s="10"/>
      <c r="F957" s="10"/>
      <c r="G957" s="10"/>
      <c r="H957" s="10"/>
      <c r="I957" s="10"/>
      <c r="M957" s="10"/>
      <c r="O957" s="10"/>
    </row>
    <row r="958">
      <c r="B958" s="10"/>
      <c r="C958" s="10"/>
      <c r="D958" s="10"/>
      <c r="E958" s="10"/>
      <c r="F958" s="10"/>
      <c r="G958" s="10"/>
      <c r="H958" s="10"/>
      <c r="I958" s="10"/>
      <c r="M958" s="10"/>
      <c r="O958" s="10"/>
    </row>
    <row r="959">
      <c r="B959" s="10"/>
      <c r="C959" s="10"/>
      <c r="D959" s="10"/>
      <c r="E959" s="10"/>
      <c r="F959" s="10"/>
      <c r="G959" s="10"/>
      <c r="H959" s="10"/>
      <c r="I959" s="10"/>
      <c r="M959" s="10"/>
      <c r="O959" s="10"/>
    </row>
    <row r="960">
      <c r="B960" s="10"/>
      <c r="C960" s="10"/>
      <c r="D960" s="10"/>
      <c r="E960" s="10"/>
      <c r="F960" s="10"/>
      <c r="G960" s="10"/>
      <c r="H960" s="10"/>
      <c r="I960" s="10"/>
      <c r="M960" s="10"/>
      <c r="O960" s="10"/>
    </row>
    <row r="961">
      <c r="B961" s="10"/>
      <c r="C961" s="10"/>
      <c r="D961" s="10"/>
      <c r="E961" s="10"/>
      <c r="F961" s="10"/>
      <c r="G961" s="10"/>
      <c r="H961" s="10"/>
      <c r="I961" s="10"/>
      <c r="M961" s="10"/>
      <c r="O961" s="10"/>
    </row>
    <row r="962">
      <c r="B962" s="10"/>
      <c r="C962" s="10"/>
      <c r="D962" s="10"/>
      <c r="E962" s="10"/>
      <c r="F962" s="10"/>
      <c r="G962" s="10"/>
      <c r="H962" s="10"/>
      <c r="I962" s="10"/>
      <c r="M962" s="10"/>
      <c r="O962" s="10"/>
    </row>
    <row r="963">
      <c r="B963" s="10"/>
      <c r="C963" s="10"/>
      <c r="D963" s="10"/>
      <c r="E963" s="10"/>
      <c r="F963" s="10"/>
      <c r="G963" s="10"/>
      <c r="H963" s="10"/>
      <c r="I963" s="10"/>
      <c r="M963" s="10"/>
      <c r="O963" s="10"/>
    </row>
    <row r="964">
      <c r="B964" s="10"/>
      <c r="C964" s="10"/>
      <c r="D964" s="10"/>
      <c r="E964" s="10"/>
      <c r="F964" s="10"/>
      <c r="G964" s="10"/>
      <c r="H964" s="10"/>
      <c r="I964" s="10"/>
      <c r="M964" s="10"/>
      <c r="O964" s="10"/>
    </row>
    <row r="965">
      <c r="B965" s="10"/>
      <c r="C965" s="10"/>
      <c r="D965" s="10"/>
      <c r="E965" s="10"/>
      <c r="F965" s="10"/>
      <c r="G965" s="10"/>
      <c r="H965" s="10"/>
      <c r="I965" s="10"/>
      <c r="M965" s="10"/>
      <c r="O965" s="10"/>
    </row>
    <row r="966">
      <c r="B966" s="10"/>
      <c r="C966" s="10"/>
      <c r="D966" s="10"/>
      <c r="E966" s="10"/>
      <c r="F966" s="10"/>
      <c r="G966" s="10"/>
      <c r="H966" s="10"/>
      <c r="I966" s="10"/>
      <c r="M966" s="10"/>
      <c r="O966" s="10"/>
    </row>
    <row r="967">
      <c r="B967" s="10"/>
      <c r="C967" s="10"/>
      <c r="D967" s="10"/>
      <c r="E967" s="10"/>
      <c r="F967" s="10"/>
      <c r="G967" s="10"/>
      <c r="H967" s="10"/>
      <c r="I967" s="10"/>
      <c r="M967" s="10"/>
      <c r="O967" s="10"/>
    </row>
    <row r="968">
      <c r="B968" s="10"/>
      <c r="C968" s="10"/>
      <c r="D968" s="10"/>
      <c r="E968" s="10"/>
      <c r="F968" s="10"/>
      <c r="G968" s="10"/>
      <c r="H968" s="10"/>
      <c r="I968" s="10"/>
      <c r="M968" s="10"/>
      <c r="O968" s="10"/>
    </row>
    <row r="969">
      <c r="B969" s="10"/>
      <c r="C969" s="10"/>
      <c r="D969" s="10"/>
      <c r="E969" s="10"/>
      <c r="F969" s="10"/>
      <c r="G969" s="10"/>
      <c r="H969" s="10"/>
      <c r="I969" s="10"/>
      <c r="M969" s="10"/>
      <c r="O969" s="10"/>
    </row>
    <row r="970">
      <c r="B970" s="10"/>
      <c r="C970" s="10"/>
      <c r="D970" s="10"/>
      <c r="E970" s="10"/>
      <c r="F970" s="10"/>
      <c r="G970" s="10"/>
      <c r="H970" s="10"/>
      <c r="I970" s="10"/>
      <c r="M970" s="10"/>
      <c r="O970" s="10"/>
    </row>
    <row r="971">
      <c r="B971" s="10"/>
      <c r="C971" s="10"/>
      <c r="D971" s="10"/>
      <c r="E971" s="10"/>
      <c r="F971" s="10"/>
      <c r="G971" s="10"/>
      <c r="H971" s="10"/>
      <c r="I971" s="10"/>
      <c r="M971" s="10"/>
      <c r="O971" s="10"/>
    </row>
    <row r="972">
      <c r="B972" s="10"/>
      <c r="C972" s="10"/>
      <c r="D972" s="10"/>
      <c r="E972" s="10"/>
      <c r="F972" s="10"/>
      <c r="G972" s="10"/>
      <c r="H972" s="10"/>
      <c r="I972" s="10"/>
      <c r="M972" s="10"/>
      <c r="O972" s="10"/>
    </row>
    <row r="973">
      <c r="B973" s="10"/>
      <c r="C973" s="10"/>
      <c r="D973" s="10"/>
      <c r="E973" s="10"/>
      <c r="F973" s="10"/>
      <c r="G973" s="10"/>
      <c r="H973" s="10"/>
      <c r="I973" s="10"/>
      <c r="M973" s="10"/>
      <c r="O973" s="10"/>
    </row>
    <row r="974">
      <c r="B974" s="10"/>
      <c r="C974" s="10"/>
      <c r="D974" s="10"/>
      <c r="E974" s="10"/>
      <c r="F974" s="10"/>
      <c r="G974" s="10"/>
      <c r="H974" s="10"/>
      <c r="I974" s="10"/>
      <c r="M974" s="10"/>
      <c r="O974" s="10"/>
    </row>
    <row r="975">
      <c r="B975" s="10"/>
      <c r="C975" s="10"/>
      <c r="D975" s="10"/>
      <c r="E975" s="10"/>
      <c r="F975" s="10"/>
      <c r="G975" s="10"/>
      <c r="H975" s="10"/>
      <c r="I975" s="10"/>
      <c r="M975" s="10"/>
      <c r="O975" s="10"/>
    </row>
    <row r="976">
      <c r="B976" s="10"/>
      <c r="C976" s="10"/>
      <c r="D976" s="10"/>
      <c r="E976" s="10"/>
      <c r="F976" s="10"/>
      <c r="G976" s="10"/>
      <c r="H976" s="10"/>
      <c r="I976" s="10"/>
      <c r="M976" s="10"/>
      <c r="O976" s="10"/>
    </row>
    <row r="977">
      <c r="B977" s="10"/>
      <c r="C977" s="10"/>
      <c r="D977" s="10"/>
      <c r="E977" s="10"/>
      <c r="F977" s="10"/>
      <c r="G977" s="10"/>
      <c r="H977" s="10"/>
      <c r="I977" s="10"/>
      <c r="M977" s="10"/>
      <c r="O977" s="10"/>
    </row>
    <row r="978">
      <c r="B978" s="10"/>
      <c r="C978" s="10"/>
      <c r="D978" s="10"/>
      <c r="E978" s="10"/>
      <c r="F978" s="10"/>
      <c r="G978" s="10"/>
      <c r="H978" s="10"/>
      <c r="I978" s="10"/>
      <c r="M978" s="10"/>
      <c r="O978" s="10"/>
    </row>
    <row r="979">
      <c r="B979" s="10"/>
      <c r="C979" s="10"/>
      <c r="D979" s="10"/>
      <c r="E979" s="10"/>
      <c r="F979" s="10"/>
      <c r="G979" s="10"/>
      <c r="H979" s="10"/>
      <c r="I979" s="10"/>
      <c r="M979" s="10"/>
      <c r="O979" s="10"/>
    </row>
    <row r="980">
      <c r="B980" s="10"/>
      <c r="C980" s="10"/>
      <c r="D980" s="10"/>
      <c r="E980" s="10"/>
      <c r="F980" s="10"/>
      <c r="G980" s="10"/>
      <c r="H980" s="10"/>
      <c r="I980" s="10"/>
      <c r="M980" s="10"/>
      <c r="O980" s="10"/>
    </row>
    <row r="981">
      <c r="B981" s="10"/>
      <c r="C981" s="10"/>
      <c r="D981" s="10"/>
      <c r="E981" s="10"/>
      <c r="F981" s="10"/>
      <c r="G981" s="10"/>
      <c r="H981" s="10"/>
      <c r="I981" s="10"/>
      <c r="M981" s="10"/>
      <c r="O981" s="10"/>
    </row>
    <row r="982">
      <c r="B982" s="10"/>
      <c r="C982" s="10"/>
      <c r="D982" s="10"/>
      <c r="E982" s="10"/>
      <c r="F982" s="10"/>
      <c r="G982" s="10"/>
      <c r="H982" s="10"/>
      <c r="I982" s="10"/>
      <c r="M982" s="10"/>
      <c r="O982" s="10"/>
    </row>
    <row r="983">
      <c r="B983" s="10"/>
      <c r="C983" s="10"/>
      <c r="D983" s="10"/>
      <c r="E983" s="10"/>
      <c r="F983" s="10"/>
      <c r="G983" s="10"/>
      <c r="H983" s="10"/>
      <c r="I983" s="10"/>
      <c r="M983" s="10"/>
      <c r="O983" s="10"/>
    </row>
    <row r="984">
      <c r="B984" s="10"/>
      <c r="C984" s="10"/>
      <c r="D984" s="10"/>
      <c r="E984" s="10"/>
      <c r="F984" s="10"/>
      <c r="G984" s="10"/>
      <c r="H984" s="10"/>
      <c r="I984" s="10"/>
      <c r="M984" s="10"/>
      <c r="O984" s="10"/>
    </row>
    <row r="985">
      <c r="B985" s="10"/>
      <c r="C985" s="10"/>
      <c r="D985" s="10"/>
      <c r="E985" s="10"/>
      <c r="F985" s="10"/>
      <c r="G985" s="10"/>
      <c r="H985" s="10"/>
      <c r="I985" s="10"/>
      <c r="M985" s="10"/>
      <c r="O985" s="10"/>
    </row>
    <row r="986">
      <c r="B986" s="10"/>
      <c r="C986" s="10"/>
      <c r="D986" s="10"/>
      <c r="E986" s="10"/>
      <c r="F986" s="10"/>
      <c r="G986" s="10"/>
      <c r="H986" s="10"/>
      <c r="I986" s="10"/>
      <c r="M986" s="10"/>
      <c r="O986" s="10"/>
    </row>
    <row r="987">
      <c r="B987" s="10"/>
      <c r="C987" s="10"/>
      <c r="D987" s="10"/>
      <c r="E987" s="10"/>
      <c r="F987" s="10"/>
      <c r="G987" s="10"/>
      <c r="H987" s="10"/>
      <c r="I987" s="10"/>
      <c r="M987" s="10"/>
      <c r="O987" s="10"/>
    </row>
    <row r="988">
      <c r="B988" s="10"/>
      <c r="C988" s="10"/>
      <c r="D988" s="10"/>
      <c r="E988" s="10"/>
      <c r="F988" s="10"/>
      <c r="G988" s="10"/>
      <c r="H988" s="10"/>
      <c r="I988" s="10"/>
      <c r="M988" s="10"/>
      <c r="O988" s="10"/>
    </row>
    <row r="989">
      <c r="B989" s="10"/>
      <c r="C989" s="10"/>
      <c r="D989" s="10"/>
      <c r="E989" s="10"/>
      <c r="F989" s="10"/>
      <c r="G989" s="10"/>
      <c r="H989" s="10"/>
      <c r="I989" s="10"/>
      <c r="M989" s="10"/>
      <c r="O989" s="10"/>
    </row>
    <row r="990">
      <c r="B990" s="10"/>
      <c r="C990" s="10"/>
      <c r="D990" s="10"/>
      <c r="E990" s="10"/>
      <c r="F990" s="10"/>
      <c r="G990" s="10"/>
      <c r="H990" s="10"/>
      <c r="I990" s="10"/>
      <c r="M990" s="10"/>
      <c r="O990" s="10"/>
    </row>
    <row r="991">
      <c r="B991" s="10"/>
      <c r="C991" s="10"/>
      <c r="D991" s="10"/>
      <c r="E991" s="10"/>
      <c r="F991" s="10"/>
      <c r="G991" s="10"/>
      <c r="H991" s="10"/>
      <c r="I991" s="10"/>
      <c r="M991" s="10"/>
      <c r="O991" s="10"/>
    </row>
    <row r="992">
      <c r="B992" s="10"/>
      <c r="C992" s="10"/>
      <c r="D992" s="10"/>
      <c r="E992" s="10"/>
      <c r="F992" s="10"/>
      <c r="G992" s="10"/>
      <c r="H992" s="10"/>
      <c r="I992" s="10"/>
      <c r="M992" s="10"/>
      <c r="O992" s="10"/>
    </row>
    <row r="993">
      <c r="B993" s="10"/>
      <c r="C993" s="10"/>
      <c r="D993" s="10"/>
      <c r="E993" s="10"/>
      <c r="F993" s="10"/>
      <c r="G993" s="10"/>
      <c r="H993" s="10"/>
      <c r="I993" s="10"/>
      <c r="M993" s="10"/>
      <c r="O993" s="10"/>
    </row>
    <row r="994">
      <c r="B994" s="10"/>
      <c r="C994" s="10"/>
      <c r="D994" s="10"/>
      <c r="E994" s="10"/>
      <c r="F994" s="10"/>
      <c r="G994" s="10"/>
      <c r="H994" s="10"/>
      <c r="I994" s="10"/>
      <c r="M994" s="10"/>
      <c r="O994" s="10"/>
    </row>
    <row r="995">
      <c r="B995" s="10"/>
      <c r="C995" s="10"/>
      <c r="D995" s="10"/>
      <c r="E995" s="10"/>
      <c r="F995" s="10"/>
      <c r="G995" s="10"/>
      <c r="H995" s="10"/>
      <c r="I995" s="10"/>
      <c r="M995" s="10"/>
      <c r="O995" s="10"/>
    </row>
    <row r="996">
      <c r="B996" s="10"/>
      <c r="C996" s="10"/>
      <c r="D996" s="10"/>
      <c r="E996" s="10"/>
      <c r="F996" s="10"/>
      <c r="G996" s="10"/>
      <c r="H996" s="10"/>
      <c r="I996" s="10"/>
      <c r="M996" s="10"/>
      <c r="O996" s="10"/>
    </row>
    <row r="997">
      <c r="B997" s="10"/>
      <c r="C997" s="10"/>
      <c r="D997" s="10"/>
      <c r="E997" s="10"/>
      <c r="F997" s="10"/>
      <c r="G997" s="10"/>
      <c r="H997" s="10"/>
      <c r="I997" s="10"/>
      <c r="M997" s="10"/>
      <c r="O997" s="10"/>
    </row>
    <row r="998">
      <c r="B998" s="10"/>
      <c r="C998" s="10"/>
      <c r="D998" s="10"/>
      <c r="E998" s="10"/>
      <c r="F998" s="10"/>
      <c r="G998" s="10"/>
      <c r="H998" s="10"/>
      <c r="I998" s="10"/>
      <c r="M998" s="10"/>
      <c r="O998" s="10"/>
    </row>
    <row r="999">
      <c r="B999" s="10"/>
      <c r="C999" s="10"/>
      <c r="D999" s="10"/>
      <c r="E999" s="10"/>
      <c r="F999" s="10"/>
      <c r="G999" s="10"/>
      <c r="H999" s="10"/>
      <c r="I999" s="10"/>
      <c r="M999" s="10"/>
      <c r="O999" s="10"/>
    </row>
    <row r="1000">
      <c r="B1000" s="10"/>
      <c r="C1000" s="10"/>
      <c r="D1000" s="10"/>
      <c r="E1000" s="10"/>
      <c r="F1000" s="10"/>
      <c r="G1000" s="10"/>
      <c r="H1000" s="10"/>
      <c r="I1000" s="10"/>
      <c r="M1000" s="10"/>
      <c r="O1000" s="10"/>
    </row>
    <row r="1001">
      <c r="B1001" s="10"/>
      <c r="C1001" s="10"/>
      <c r="D1001" s="10"/>
      <c r="E1001" s="10"/>
      <c r="F1001" s="10"/>
      <c r="G1001" s="10"/>
      <c r="H1001" s="10"/>
      <c r="I1001" s="10"/>
      <c r="M1001" s="10"/>
      <c r="O1001" s="10"/>
    </row>
    <row r="1002">
      <c r="B1002" s="10"/>
      <c r="C1002" s="10"/>
      <c r="D1002" s="10"/>
      <c r="E1002" s="10"/>
      <c r="F1002" s="10"/>
      <c r="G1002" s="10"/>
      <c r="H1002" s="10"/>
      <c r="I1002" s="10"/>
      <c r="M1002" s="10"/>
      <c r="O1002" s="10"/>
    </row>
    <row r="1003">
      <c r="B1003" s="10"/>
      <c r="C1003" s="10"/>
      <c r="D1003" s="10"/>
      <c r="E1003" s="10"/>
      <c r="F1003" s="10"/>
      <c r="G1003" s="10"/>
      <c r="H1003" s="10"/>
      <c r="I1003" s="10"/>
      <c r="M1003" s="10"/>
      <c r="O1003" s="10"/>
    </row>
    <row r="1004">
      <c r="B1004" s="10"/>
      <c r="C1004" s="10"/>
      <c r="D1004" s="10"/>
      <c r="E1004" s="10"/>
      <c r="F1004" s="10"/>
      <c r="G1004" s="10"/>
      <c r="H1004" s="10"/>
      <c r="I1004" s="10"/>
      <c r="M1004" s="10"/>
      <c r="O1004" s="10"/>
    </row>
    <row r="1005">
      <c r="B1005" s="10"/>
      <c r="C1005" s="10"/>
      <c r="D1005" s="10"/>
      <c r="E1005" s="10"/>
      <c r="F1005" s="10"/>
      <c r="G1005" s="10"/>
      <c r="H1005" s="10"/>
      <c r="I1005" s="10"/>
      <c r="M1005" s="10"/>
      <c r="O1005" s="10"/>
    </row>
    <row r="1006">
      <c r="B1006" s="10"/>
      <c r="C1006" s="10"/>
      <c r="D1006" s="10"/>
      <c r="E1006" s="10"/>
      <c r="F1006" s="10"/>
      <c r="G1006" s="10"/>
      <c r="H1006" s="10"/>
      <c r="I1006" s="10"/>
      <c r="M1006" s="10"/>
      <c r="O1006" s="10"/>
    </row>
    <row r="1007">
      <c r="B1007" s="10"/>
      <c r="C1007" s="10"/>
      <c r="D1007" s="10"/>
      <c r="E1007" s="10"/>
      <c r="F1007" s="10"/>
      <c r="G1007" s="10"/>
      <c r="H1007" s="10"/>
      <c r="I1007" s="10"/>
      <c r="M1007" s="10"/>
      <c r="O1007" s="10"/>
    </row>
    <row r="1008">
      <c r="B1008" s="10"/>
      <c r="C1008" s="10"/>
      <c r="D1008" s="10"/>
      <c r="E1008" s="10"/>
      <c r="F1008" s="10"/>
      <c r="G1008" s="10"/>
      <c r="H1008" s="10"/>
      <c r="I1008" s="10"/>
      <c r="M1008" s="10"/>
      <c r="O1008" s="10"/>
    </row>
    <row r="1009">
      <c r="B1009" s="10"/>
      <c r="C1009" s="10"/>
      <c r="D1009" s="10"/>
      <c r="E1009" s="10"/>
      <c r="F1009" s="10"/>
      <c r="G1009" s="10"/>
      <c r="H1009" s="10"/>
      <c r="I1009" s="10"/>
      <c r="M1009" s="10"/>
      <c r="O1009" s="10"/>
    </row>
    <row r="1010">
      <c r="B1010" s="10"/>
      <c r="C1010" s="10"/>
      <c r="D1010" s="10"/>
      <c r="E1010" s="10"/>
      <c r="F1010" s="10"/>
      <c r="G1010" s="10"/>
      <c r="H1010" s="10"/>
      <c r="I1010" s="10"/>
      <c r="M1010" s="10"/>
      <c r="O1010" s="10"/>
    </row>
    <row r="1011">
      <c r="B1011" s="10"/>
      <c r="C1011" s="10"/>
      <c r="D1011" s="10"/>
      <c r="E1011" s="10"/>
      <c r="F1011" s="10"/>
      <c r="G1011" s="10"/>
      <c r="H1011" s="10"/>
      <c r="I1011" s="10"/>
      <c r="M1011" s="10"/>
      <c r="O1011" s="10"/>
    </row>
    <row r="1012">
      <c r="B1012" s="10"/>
      <c r="C1012" s="10"/>
      <c r="D1012" s="10"/>
      <c r="E1012" s="10"/>
      <c r="F1012" s="10"/>
      <c r="G1012" s="10"/>
      <c r="H1012" s="10"/>
      <c r="I1012" s="10"/>
      <c r="M1012" s="10"/>
      <c r="O1012" s="10"/>
    </row>
    <row r="1013">
      <c r="B1013" s="10"/>
      <c r="C1013" s="10"/>
      <c r="D1013" s="10"/>
      <c r="E1013" s="10"/>
      <c r="F1013" s="10"/>
      <c r="G1013" s="10"/>
      <c r="H1013" s="10"/>
      <c r="I1013" s="10"/>
      <c r="M1013" s="10"/>
      <c r="O1013" s="10"/>
    </row>
    <row r="1014">
      <c r="B1014" s="10"/>
      <c r="C1014" s="10"/>
      <c r="D1014" s="10"/>
      <c r="E1014" s="10"/>
      <c r="F1014" s="10"/>
      <c r="G1014" s="10"/>
      <c r="H1014" s="10"/>
      <c r="I1014" s="10"/>
      <c r="M1014" s="10"/>
      <c r="O1014" s="10"/>
    </row>
    <row r="1015">
      <c r="B1015" s="10"/>
      <c r="C1015" s="10"/>
      <c r="D1015" s="10"/>
      <c r="E1015" s="10"/>
      <c r="F1015" s="10"/>
      <c r="G1015" s="10"/>
      <c r="H1015" s="10"/>
      <c r="I1015" s="10"/>
      <c r="M1015" s="10"/>
      <c r="O1015" s="10"/>
    </row>
    <row r="1016">
      <c r="B1016" s="10"/>
      <c r="C1016" s="10"/>
      <c r="D1016" s="10"/>
      <c r="E1016" s="10"/>
      <c r="F1016" s="10"/>
      <c r="G1016" s="10"/>
      <c r="H1016" s="10"/>
      <c r="I1016" s="10"/>
      <c r="M1016" s="10"/>
      <c r="O1016" s="10"/>
    </row>
    <row r="1017">
      <c r="B1017" s="10"/>
      <c r="C1017" s="10"/>
      <c r="D1017" s="10"/>
      <c r="E1017" s="10"/>
      <c r="F1017" s="10"/>
      <c r="G1017" s="10"/>
      <c r="H1017" s="10"/>
      <c r="I1017" s="10"/>
      <c r="M1017" s="10"/>
      <c r="O1017" s="10"/>
    </row>
    <row r="1018">
      <c r="B1018" s="10"/>
      <c r="C1018" s="10"/>
      <c r="D1018" s="10"/>
      <c r="E1018" s="10"/>
      <c r="F1018" s="10"/>
      <c r="G1018" s="10"/>
      <c r="H1018" s="10"/>
      <c r="I1018" s="10"/>
      <c r="M1018" s="10"/>
      <c r="O1018" s="10"/>
    </row>
    <row r="1019">
      <c r="B1019" s="10"/>
      <c r="C1019" s="10"/>
      <c r="D1019" s="10"/>
      <c r="E1019" s="10"/>
      <c r="F1019" s="10"/>
      <c r="G1019" s="10"/>
      <c r="H1019" s="10"/>
      <c r="I1019" s="10"/>
      <c r="M1019" s="10"/>
      <c r="O1019" s="10"/>
    </row>
    <row r="1020">
      <c r="B1020" s="10"/>
      <c r="C1020" s="10"/>
      <c r="D1020" s="10"/>
      <c r="E1020" s="10"/>
      <c r="F1020" s="10"/>
      <c r="G1020" s="10"/>
      <c r="H1020" s="10"/>
      <c r="I1020" s="10"/>
      <c r="M1020" s="10"/>
      <c r="O1020" s="10"/>
    </row>
    <row r="1021">
      <c r="B1021" s="10"/>
      <c r="C1021" s="10"/>
      <c r="D1021" s="10"/>
      <c r="E1021" s="10"/>
      <c r="F1021" s="10"/>
      <c r="G1021" s="10"/>
      <c r="H1021" s="10"/>
      <c r="I1021" s="10"/>
      <c r="M1021" s="10"/>
      <c r="O1021" s="10"/>
    </row>
    <row r="1022">
      <c r="B1022" s="10"/>
      <c r="C1022" s="10"/>
      <c r="D1022" s="10"/>
      <c r="E1022" s="10"/>
      <c r="F1022" s="10"/>
      <c r="G1022" s="10"/>
      <c r="H1022" s="10"/>
      <c r="I1022" s="10"/>
      <c r="M1022" s="10"/>
      <c r="O1022" s="10"/>
    </row>
    <row r="1023">
      <c r="B1023" s="10"/>
      <c r="C1023" s="10"/>
      <c r="D1023" s="10"/>
      <c r="E1023" s="10"/>
      <c r="F1023" s="10"/>
      <c r="G1023" s="10"/>
      <c r="H1023" s="10"/>
      <c r="I1023" s="10"/>
      <c r="M1023" s="10"/>
      <c r="O1023" s="10"/>
    </row>
    <row r="1024">
      <c r="B1024" s="10"/>
      <c r="C1024" s="10"/>
      <c r="D1024" s="10"/>
      <c r="E1024" s="10"/>
      <c r="F1024" s="10"/>
      <c r="G1024" s="10"/>
      <c r="H1024" s="10"/>
      <c r="I1024" s="10"/>
      <c r="M1024" s="10"/>
      <c r="O1024" s="10"/>
    </row>
    <row r="1025">
      <c r="B1025" s="10"/>
      <c r="C1025" s="10"/>
      <c r="D1025" s="10"/>
      <c r="E1025" s="10"/>
      <c r="F1025" s="10"/>
      <c r="G1025" s="10"/>
      <c r="H1025" s="10"/>
      <c r="I1025" s="10"/>
      <c r="M1025" s="10"/>
      <c r="O1025" s="10"/>
    </row>
    <row r="1026">
      <c r="B1026" s="10"/>
      <c r="C1026" s="10"/>
      <c r="D1026" s="10"/>
      <c r="E1026" s="10"/>
      <c r="F1026" s="10"/>
      <c r="G1026" s="10"/>
      <c r="H1026" s="10"/>
      <c r="I1026" s="10"/>
      <c r="M1026" s="10"/>
      <c r="O1026" s="10"/>
    </row>
    <row r="1027">
      <c r="B1027" s="10"/>
      <c r="C1027" s="10"/>
      <c r="D1027" s="10"/>
      <c r="E1027" s="10"/>
      <c r="F1027" s="10"/>
      <c r="G1027" s="10"/>
      <c r="H1027" s="10"/>
      <c r="I1027" s="10"/>
      <c r="M1027" s="10"/>
      <c r="O1027" s="10"/>
    </row>
    <row r="1028">
      <c r="B1028" s="10"/>
      <c r="C1028" s="10"/>
      <c r="D1028" s="10"/>
      <c r="E1028" s="10"/>
      <c r="F1028" s="10"/>
      <c r="G1028" s="10"/>
      <c r="H1028" s="10"/>
      <c r="I1028" s="10"/>
      <c r="M1028" s="10"/>
      <c r="O1028" s="10"/>
    </row>
    <row r="1029">
      <c r="B1029" s="10"/>
      <c r="C1029" s="10"/>
      <c r="D1029" s="10"/>
      <c r="E1029" s="10"/>
      <c r="F1029" s="10"/>
      <c r="G1029" s="10"/>
      <c r="H1029" s="10"/>
      <c r="I1029" s="10"/>
      <c r="M1029" s="10"/>
      <c r="O1029" s="10"/>
    </row>
    <row r="1030">
      <c r="B1030" s="10"/>
      <c r="C1030" s="10"/>
      <c r="D1030" s="10"/>
      <c r="E1030" s="10"/>
      <c r="F1030" s="10"/>
      <c r="G1030" s="10"/>
      <c r="H1030" s="10"/>
      <c r="I1030" s="10"/>
      <c r="M1030" s="10"/>
      <c r="O1030" s="10"/>
    </row>
    <row r="1031">
      <c r="B1031" s="10"/>
      <c r="C1031" s="10"/>
      <c r="D1031" s="10"/>
      <c r="E1031" s="10"/>
      <c r="F1031" s="10"/>
      <c r="G1031" s="10"/>
      <c r="H1031" s="10"/>
      <c r="I1031" s="10"/>
      <c r="M1031" s="10"/>
      <c r="O1031" s="10"/>
    </row>
    <row r="1032">
      <c r="B1032" s="10"/>
      <c r="C1032" s="10"/>
      <c r="D1032" s="10"/>
      <c r="E1032" s="10"/>
      <c r="F1032" s="10"/>
      <c r="G1032" s="10"/>
      <c r="H1032" s="10"/>
      <c r="I1032" s="10"/>
      <c r="M1032" s="10"/>
      <c r="O1032" s="10"/>
    </row>
    <row r="1033">
      <c r="B1033" s="10"/>
      <c r="C1033" s="10"/>
      <c r="D1033" s="10"/>
      <c r="E1033" s="10"/>
      <c r="F1033" s="10"/>
      <c r="G1033" s="10"/>
      <c r="H1033" s="10"/>
      <c r="I1033" s="10"/>
      <c r="M1033" s="10"/>
      <c r="O1033" s="10"/>
    </row>
    <row r="1034">
      <c r="B1034" s="10"/>
      <c r="C1034" s="10"/>
      <c r="D1034" s="10"/>
      <c r="E1034" s="10"/>
      <c r="F1034" s="10"/>
      <c r="G1034" s="10"/>
      <c r="H1034" s="10"/>
      <c r="I1034" s="10"/>
      <c r="M1034" s="10"/>
      <c r="O1034" s="10"/>
    </row>
    <row r="1035">
      <c r="B1035" s="10"/>
      <c r="C1035" s="10"/>
      <c r="D1035" s="10"/>
      <c r="E1035" s="10"/>
      <c r="F1035" s="10"/>
      <c r="G1035" s="10"/>
      <c r="H1035" s="10"/>
      <c r="I1035" s="10"/>
      <c r="M1035" s="10"/>
      <c r="O1035" s="10"/>
    </row>
    <row r="1036">
      <c r="B1036" s="10"/>
      <c r="C1036" s="10"/>
      <c r="D1036" s="10"/>
      <c r="E1036" s="10"/>
      <c r="F1036" s="10"/>
      <c r="G1036" s="10"/>
      <c r="H1036" s="10"/>
      <c r="I1036" s="10"/>
      <c r="M1036" s="10"/>
      <c r="O1036" s="10"/>
    </row>
    <row r="1037">
      <c r="B1037" s="10"/>
      <c r="C1037" s="10"/>
      <c r="D1037" s="10"/>
      <c r="E1037" s="10"/>
      <c r="F1037" s="10"/>
      <c r="G1037" s="10"/>
      <c r="H1037" s="10"/>
      <c r="I1037" s="10"/>
      <c r="M1037" s="10"/>
      <c r="O1037" s="10"/>
    </row>
    <row r="1038">
      <c r="B1038" s="10"/>
      <c r="C1038" s="10"/>
      <c r="D1038" s="10"/>
      <c r="E1038" s="10"/>
      <c r="F1038" s="10"/>
      <c r="G1038" s="10"/>
      <c r="H1038" s="10"/>
      <c r="I1038" s="10"/>
      <c r="M1038" s="10"/>
      <c r="O1038" s="10"/>
    </row>
    <row r="1039">
      <c r="B1039" s="10"/>
      <c r="C1039" s="10"/>
      <c r="D1039" s="10"/>
      <c r="E1039" s="10"/>
      <c r="F1039" s="10"/>
      <c r="G1039" s="10"/>
      <c r="H1039" s="10"/>
      <c r="I1039" s="10"/>
      <c r="M1039" s="10"/>
      <c r="O1039" s="10"/>
    </row>
    <row r="1040">
      <c r="B1040" s="10"/>
      <c r="C1040" s="10"/>
      <c r="D1040" s="10"/>
      <c r="E1040" s="10"/>
      <c r="F1040" s="10"/>
      <c r="G1040" s="10"/>
      <c r="H1040" s="10"/>
      <c r="I1040" s="10"/>
      <c r="M1040" s="10"/>
      <c r="O1040" s="10"/>
    </row>
    <row r="1041">
      <c r="B1041" s="10"/>
      <c r="C1041" s="10"/>
      <c r="D1041" s="10"/>
      <c r="E1041" s="10"/>
      <c r="F1041" s="10"/>
      <c r="G1041" s="10"/>
      <c r="H1041" s="10"/>
      <c r="I1041" s="10"/>
      <c r="M1041" s="10"/>
      <c r="O1041" s="10"/>
    </row>
    <row r="1042">
      <c r="B1042" s="10"/>
      <c r="C1042" s="10"/>
      <c r="D1042" s="10"/>
      <c r="E1042" s="10"/>
      <c r="F1042" s="10"/>
      <c r="G1042" s="10"/>
      <c r="H1042" s="10"/>
      <c r="I1042" s="10"/>
      <c r="M1042" s="10"/>
      <c r="O1042" s="10"/>
    </row>
    <row r="1043">
      <c r="B1043" s="10"/>
      <c r="C1043" s="10"/>
      <c r="D1043" s="10"/>
      <c r="E1043" s="10"/>
      <c r="F1043" s="10"/>
      <c r="G1043" s="10"/>
      <c r="H1043" s="10"/>
      <c r="I1043" s="10"/>
      <c r="M1043" s="10"/>
      <c r="O1043" s="10"/>
    </row>
    <row r="1044">
      <c r="B1044" s="10"/>
      <c r="C1044" s="10"/>
      <c r="D1044" s="10"/>
      <c r="E1044" s="10"/>
      <c r="F1044" s="10"/>
      <c r="G1044" s="10"/>
      <c r="H1044" s="10"/>
      <c r="I1044" s="10"/>
      <c r="M1044" s="10"/>
      <c r="O1044" s="10"/>
    </row>
    <row r="1045">
      <c r="B1045" s="10"/>
      <c r="C1045" s="10"/>
      <c r="D1045" s="10"/>
      <c r="E1045" s="10"/>
      <c r="F1045" s="10"/>
      <c r="G1045" s="10"/>
      <c r="H1045" s="10"/>
      <c r="I1045" s="10"/>
      <c r="M1045" s="10"/>
      <c r="O1045" s="10"/>
    </row>
    <row r="1046">
      <c r="B1046" s="10"/>
      <c r="C1046" s="10"/>
      <c r="D1046" s="10"/>
      <c r="E1046" s="10"/>
      <c r="F1046" s="10"/>
      <c r="G1046" s="10"/>
      <c r="H1046" s="10"/>
      <c r="I1046" s="10"/>
      <c r="M1046" s="10"/>
      <c r="O1046" s="10"/>
    </row>
    <row r="1047">
      <c r="B1047" s="10"/>
      <c r="C1047" s="10"/>
      <c r="D1047" s="10"/>
      <c r="E1047" s="10"/>
      <c r="F1047" s="10"/>
      <c r="G1047" s="10"/>
      <c r="H1047" s="10"/>
      <c r="I1047" s="10"/>
      <c r="M1047" s="10"/>
      <c r="O1047" s="10"/>
    </row>
    <row r="1048">
      <c r="B1048" s="10"/>
      <c r="C1048" s="10"/>
      <c r="D1048" s="10"/>
      <c r="E1048" s="10"/>
      <c r="F1048" s="10"/>
      <c r="G1048" s="10"/>
      <c r="H1048" s="10"/>
      <c r="I1048" s="10"/>
      <c r="M1048" s="10"/>
      <c r="O1048" s="10"/>
    </row>
    <row r="1049">
      <c r="B1049" s="10"/>
      <c r="C1049" s="10"/>
      <c r="D1049" s="10"/>
      <c r="E1049" s="10"/>
      <c r="F1049" s="10"/>
      <c r="G1049" s="10"/>
      <c r="H1049" s="10"/>
      <c r="I1049" s="10"/>
      <c r="M1049" s="10"/>
      <c r="O1049" s="10"/>
    </row>
    <row r="1050">
      <c r="B1050" s="10"/>
      <c r="C1050" s="10"/>
      <c r="D1050" s="10"/>
      <c r="E1050" s="10"/>
      <c r="F1050" s="10"/>
      <c r="G1050" s="10"/>
      <c r="H1050" s="10"/>
      <c r="I1050" s="10"/>
      <c r="M1050" s="10"/>
      <c r="O1050" s="10"/>
    </row>
    <row r="1051">
      <c r="B1051" s="10"/>
      <c r="C1051" s="10"/>
      <c r="D1051" s="10"/>
      <c r="E1051" s="10"/>
      <c r="F1051" s="10"/>
      <c r="G1051" s="10"/>
      <c r="H1051" s="10"/>
      <c r="I1051" s="10"/>
      <c r="M1051" s="10"/>
      <c r="O1051" s="10"/>
    </row>
    <row r="1052">
      <c r="B1052" s="10"/>
      <c r="C1052" s="10"/>
      <c r="D1052" s="10"/>
      <c r="E1052" s="10"/>
      <c r="F1052" s="10"/>
      <c r="G1052" s="10"/>
      <c r="H1052" s="10"/>
      <c r="I1052" s="10"/>
      <c r="M1052" s="10"/>
      <c r="O1052" s="10"/>
    </row>
    <row r="1053">
      <c r="B1053" s="10"/>
      <c r="C1053" s="10"/>
      <c r="D1053" s="10"/>
      <c r="E1053" s="10"/>
      <c r="F1053" s="10"/>
      <c r="G1053" s="10"/>
      <c r="H1053" s="10"/>
      <c r="I1053" s="10"/>
      <c r="M1053" s="10"/>
      <c r="O1053" s="10"/>
    </row>
    <row r="1054">
      <c r="B1054" s="10"/>
      <c r="C1054" s="10"/>
      <c r="D1054" s="10"/>
      <c r="E1054" s="10"/>
      <c r="F1054" s="10"/>
      <c r="G1054" s="10"/>
      <c r="H1054" s="10"/>
      <c r="I1054" s="10"/>
      <c r="M1054" s="10"/>
      <c r="O1054" s="10"/>
    </row>
    <row r="1055">
      <c r="B1055" s="10"/>
      <c r="C1055" s="10"/>
      <c r="D1055" s="10"/>
      <c r="E1055" s="10"/>
      <c r="F1055" s="10"/>
      <c r="G1055" s="10"/>
      <c r="H1055" s="10"/>
      <c r="I1055" s="10"/>
      <c r="M1055" s="10"/>
      <c r="O1055" s="10"/>
    </row>
    <row r="1056">
      <c r="B1056" s="10"/>
      <c r="C1056" s="10"/>
      <c r="D1056" s="10"/>
      <c r="E1056" s="10"/>
      <c r="F1056" s="10"/>
      <c r="G1056" s="10"/>
      <c r="H1056" s="10"/>
      <c r="I1056" s="10"/>
      <c r="M1056" s="10"/>
      <c r="O1056" s="10"/>
    </row>
    <row r="1057">
      <c r="B1057" s="10"/>
      <c r="C1057" s="10"/>
      <c r="D1057" s="10"/>
      <c r="E1057" s="10"/>
      <c r="F1057" s="10"/>
      <c r="G1057" s="10"/>
      <c r="H1057" s="10"/>
      <c r="I1057" s="10"/>
      <c r="M1057" s="10"/>
      <c r="O1057" s="10"/>
    </row>
    <row r="1058">
      <c r="B1058" s="10"/>
      <c r="C1058" s="10"/>
      <c r="D1058" s="10"/>
      <c r="E1058" s="10"/>
      <c r="F1058" s="10"/>
      <c r="G1058" s="10"/>
      <c r="H1058" s="10"/>
      <c r="I1058" s="10"/>
      <c r="M1058" s="10"/>
      <c r="O1058" s="10"/>
    </row>
    <row r="1059">
      <c r="B1059" s="10"/>
      <c r="C1059" s="10"/>
      <c r="D1059" s="10"/>
      <c r="E1059" s="10"/>
      <c r="F1059" s="10"/>
      <c r="G1059" s="10"/>
      <c r="H1059" s="10"/>
      <c r="I1059" s="10"/>
      <c r="M1059" s="10"/>
      <c r="O1059" s="10"/>
    </row>
    <row r="1060">
      <c r="B1060" s="10"/>
      <c r="C1060" s="10"/>
      <c r="D1060" s="10"/>
      <c r="E1060" s="10"/>
      <c r="F1060" s="10"/>
      <c r="G1060" s="10"/>
      <c r="H1060" s="10"/>
      <c r="I1060" s="10"/>
      <c r="M1060" s="10"/>
      <c r="O1060" s="10"/>
    </row>
    <row r="1061">
      <c r="B1061" s="10"/>
      <c r="C1061" s="10"/>
      <c r="D1061" s="10"/>
      <c r="E1061" s="10"/>
      <c r="F1061" s="10"/>
      <c r="G1061" s="10"/>
      <c r="H1061" s="10"/>
      <c r="I1061" s="10"/>
      <c r="M1061" s="10"/>
      <c r="O1061" s="10"/>
    </row>
    <row r="1062">
      <c r="B1062" s="10"/>
      <c r="C1062" s="10"/>
      <c r="D1062" s="10"/>
      <c r="E1062" s="10"/>
      <c r="F1062" s="10"/>
      <c r="G1062" s="10"/>
      <c r="H1062" s="10"/>
      <c r="I1062" s="10"/>
      <c r="M1062" s="10"/>
      <c r="O1062" s="10"/>
    </row>
    <row r="1063">
      <c r="B1063" s="10"/>
      <c r="C1063" s="10"/>
      <c r="D1063" s="10"/>
      <c r="E1063" s="10"/>
      <c r="F1063" s="10"/>
      <c r="G1063" s="10"/>
      <c r="H1063" s="10"/>
      <c r="I1063" s="10"/>
      <c r="M1063" s="10"/>
      <c r="O1063" s="10"/>
    </row>
    <row r="1064">
      <c r="B1064" s="10"/>
      <c r="C1064" s="10"/>
      <c r="D1064" s="10"/>
      <c r="E1064" s="10"/>
      <c r="F1064" s="10"/>
      <c r="G1064" s="10"/>
      <c r="H1064" s="10"/>
      <c r="I1064" s="10"/>
      <c r="M1064" s="10"/>
      <c r="O1064" s="10"/>
    </row>
  </sheetData>
  <mergeCells count="3">
    <mergeCell ref="B1:I1"/>
    <mergeCell ref="J1:Q1"/>
    <mergeCell ref="R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496</v>
      </c>
      <c r="B1" s="11" t="s">
        <v>497</v>
      </c>
      <c r="C1" s="11" t="s">
        <v>498</v>
      </c>
      <c r="D1" s="11" t="s">
        <v>499</v>
      </c>
      <c r="P1" s="11" t="s">
        <v>499</v>
      </c>
    </row>
    <row r="2">
      <c r="A2" s="11" t="s">
        <v>36</v>
      </c>
      <c r="B2" s="11" t="s">
        <v>500</v>
      </c>
      <c r="C2" s="11">
        <v>4.0</v>
      </c>
      <c r="D2" s="11">
        <v>24.0</v>
      </c>
      <c r="P2" s="11">
        <v>24.0</v>
      </c>
    </row>
    <row r="3">
      <c r="A3" s="11" t="s">
        <v>36</v>
      </c>
      <c r="B3" s="11" t="s">
        <v>501</v>
      </c>
      <c r="C3" s="11">
        <v>5.0</v>
      </c>
      <c r="D3" s="11">
        <v>26.0</v>
      </c>
      <c r="P3" s="11">
        <v>26.0</v>
      </c>
    </row>
    <row r="4">
      <c r="A4" s="11" t="s">
        <v>36</v>
      </c>
      <c r="B4" s="11" t="s">
        <v>502</v>
      </c>
      <c r="C4" s="11">
        <v>6.0</v>
      </c>
      <c r="D4" s="11">
        <v>19.0</v>
      </c>
      <c r="P4" s="11">
        <v>19.0</v>
      </c>
    </row>
    <row r="5">
      <c r="A5" s="11" t="s">
        <v>36</v>
      </c>
      <c r="B5" s="11" t="s">
        <v>503</v>
      </c>
      <c r="C5" s="11">
        <v>5.0</v>
      </c>
      <c r="D5" s="11">
        <v>19.0</v>
      </c>
      <c r="P5" s="11">
        <v>19.0</v>
      </c>
    </row>
    <row r="6">
      <c r="A6" s="11" t="s">
        <v>36</v>
      </c>
      <c r="B6" s="11" t="s">
        <v>504</v>
      </c>
      <c r="C6" s="11">
        <v>5.0</v>
      </c>
      <c r="D6" s="11">
        <v>19.0</v>
      </c>
      <c r="P6" s="11">
        <v>19.0</v>
      </c>
    </row>
    <row r="7">
      <c r="A7" s="11" t="s">
        <v>36</v>
      </c>
      <c r="B7" s="11" t="s">
        <v>505</v>
      </c>
      <c r="C7" s="11">
        <v>7.0</v>
      </c>
      <c r="D7" s="11">
        <v>21.0</v>
      </c>
      <c r="P7" s="11">
        <v>21.0</v>
      </c>
    </row>
    <row r="8">
      <c r="A8" s="11" t="s">
        <v>36</v>
      </c>
      <c r="B8" s="11" t="s">
        <v>506</v>
      </c>
      <c r="C8" s="11">
        <v>5.0</v>
      </c>
      <c r="D8" s="11">
        <v>25.0</v>
      </c>
      <c r="P8" s="11">
        <v>25.0</v>
      </c>
    </row>
    <row r="9">
      <c r="A9" s="11" t="s">
        <v>36</v>
      </c>
      <c r="B9" s="11" t="s">
        <v>507</v>
      </c>
      <c r="C9" s="11">
        <v>6.0</v>
      </c>
      <c r="D9" s="11">
        <v>25.0</v>
      </c>
      <c r="P9" s="11">
        <v>25.0</v>
      </c>
    </row>
    <row r="10">
      <c r="A10" s="11" t="s">
        <v>36</v>
      </c>
      <c r="B10" s="11" t="s">
        <v>508</v>
      </c>
      <c r="C10" s="11">
        <v>5.0</v>
      </c>
      <c r="D10" s="11">
        <v>25.0</v>
      </c>
      <c r="P10" s="11">
        <v>25.0</v>
      </c>
    </row>
    <row r="11">
      <c r="A11" s="11" t="s">
        <v>36</v>
      </c>
      <c r="B11" s="11" t="s">
        <v>509</v>
      </c>
      <c r="C11" s="11">
        <v>5.0</v>
      </c>
      <c r="D11" s="11">
        <v>25.0</v>
      </c>
      <c r="P11" s="11">
        <v>25.0</v>
      </c>
    </row>
    <row r="12">
      <c r="A12" s="11" t="s">
        <v>36</v>
      </c>
      <c r="B12" s="11" t="s">
        <v>510</v>
      </c>
      <c r="C12" s="11">
        <v>6.0</v>
      </c>
      <c r="D12" s="11">
        <v>25.0</v>
      </c>
      <c r="P12" s="11">
        <v>25.0</v>
      </c>
    </row>
    <row r="13">
      <c r="A13" s="11" t="s">
        <v>36</v>
      </c>
      <c r="B13" s="11" t="s">
        <v>511</v>
      </c>
      <c r="C13" s="11">
        <v>5.0</v>
      </c>
      <c r="D13" s="11">
        <v>25.0</v>
      </c>
      <c r="P13" s="11">
        <v>25.0</v>
      </c>
    </row>
    <row r="14">
      <c r="A14" s="11" t="s">
        <v>36</v>
      </c>
      <c r="B14" s="11" t="s">
        <v>512</v>
      </c>
      <c r="C14" s="11">
        <v>7.0</v>
      </c>
      <c r="D14" s="11">
        <v>24.0</v>
      </c>
      <c r="P14" s="11">
        <v>24.0</v>
      </c>
    </row>
    <row r="15">
      <c r="A15" s="11" t="s">
        <v>36</v>
      </c>
      <c r="B15" s="11" t="s">
        <v>513</v>
      </c>
      <c r="C15" s="11">
        <v>5.0</v>
      </c>
      <c r="D15" s="11">
        <v>24.0</v>
      </c>
      <c r="P15" s="11">
        <v>24.0</v>
      </c>
    </row>
    <row r="16">
      <c r="A16" s="11" t="s">
        <v>36</v>
      </c>
      <c r="B16" s="11" t="s">
        <v>514</v>
      </c>
      <c r="C16" s="11">
        <v>5.0</v>
      </c>
      <c r="D16" s="11">
        <v>24.0</v>
      </c>
      <c r="P16" s="11">
        <v>24.0</v>
      </c>
    </row>
    <row r="17">
      <c r="A17" s="11" t="s">
        <v>36</v>
      </c>
      <c r="B17" s="11" t="s">
        <v>515</v>
      </c>
      <c r="C17" s="11">
        <v>5.0</v>
      </c>
      <c r="D17" s="11">
        <v>24.0</v>
      </c>
      <c r="P17" s="11">
        <v>24.0</v>
      </c>
    </row>
    <row r="18">
      <c r="A18" s="11" t="s">
        <v>36</v>
      </c>
      <c r="B18" s="11" t="s">
        <v>516</v>
      </c>
      <c r="C18" s="11">
        <v>5.0</v>
      </c>
      <c r="D18" s="11">
        <v>24.0</v>
      </c>
      <c r="P18" s="11">
        <v>24.0</v>
      </c>
    </row>
    <row r="19">
      <c r="A19" s="11" t="s">
        <v>36</v>
      </c>
      <c r="B19" s="11" t="s">
        <v>517</v>
      </c>
      <c r="C19" s="11">
        <v>6.0</v>
      </c>
      <c r="D19" s="11">
        <v>25.0</v>
      </c>
      <c r="P19" s="11">
        <v>25.0</v>
      </c>
    </row>
    <row r="20">
      <c r="A20" s="11" t="s">
        <v>36</v>
      </c>
      <c r="B20" s="11" t="s">
        <v>518</v>
      </c>
      <c r="C20" s="11">
        <v>5.0</v>
      </c>
      <c r="D20" s="11">
        <v>43.0</v>
      </c>
      <c r="P20" s="11">
        <v>43.0</v>
      </c>
    </row>
    <row r="21">
      <c r="A21" s="11" t="s">
        <v>36</v>
      </c>
      <c r="B21" s="11" t="s">
        <v>519</v>
      </c>
      <c r="C21" s="11">
        <v>5.0</v>
      </c>
      <c r="D21" s="11">
        <v>43.0</v>
      </c>
      <c r="P21" s="11">
        <v>43.0</v>
      </c>
    </row>
    <row r="22">
      <c r="A22" s="11" t="s">
        <v>36</v>
      </c>
      <c r="B22" s="11" t="s">
        <v>520</v>
      </c>
      <c r="C22" s="11">
        <v>5.0</v>
      </c>
      <c r="D22" s="11">
        <v>43.0</v>
      </c>
      <c r="P22" s="11">
        <v>43.0</v>
      </c>
    </row>
    <row r="23">
      <c r="A23" s="11" t="s">
        <v>36</v>
      </c>
      <c r="B23" s="11" t="s">
        <v>521</v>
      </c>
      <c r="C23" s="11">
        <v>5.0</v>
      </c>
      <c r="D23" s="11">
        <v>43.0</v>
      </c>
      <c r="P23" s="11">
        <v>43.0</v>
      </c>
    </row>
    <row r="24">
      <c r="A24" s="11" t="s">
        <v>36</v>
      </c>
      <c r="B24" s="11" t="s">
        <v>522</v>
      </c>
      <c r="C24" s="11">
        <v>4.0</v>
      </c>
      <c r="D24" s="11">
        <v>43.0</v>
      </c>
      <c r="P24" s="11">
        <v>43.0</v>
      </c>
    </row>
    <row r="25">
      <c r="A25" s="11" t="s">
        <v>36</v>
      </c>
      <c r="B25" s="11" t="s">
        <v>523</v>
      </c>
      <c r="C25" s="11">
        <v>5.0</v>
      </c>
      <c r="D25" s="11">
        <v>46.0</v>
      </c>
      <c r="P25" s="11">
        <v>46.0</v>
      </c>
    </row>
    <row r="26">
      <c r="A26" s="11" t="s">
        <v>36</v>
      </c>
      <c r="B26" s="11" t="s">
        <v>524</v>
      </c>
      <c r="C26" s="11">
        <v>5.0</v>
      </c>
      <c r="D26" s="11">
        <v>48.0</v>
      </c>
      <c r="P26" s="11">
        <v>48.0</v>
      </c>
    </row>
    <row r="27">
      <c r="A27" s="11" t="s">
        <v>36</v>
      </c>
      <c r="B27" s="11" t="s">
        <v>525</v>
      </c>
      <c r="C27" s="11">
        <v>5.0</v>
      </c>
      <c r="D27" s="11">
        <v>48.0</v>
      </c>
      <c r="P27" s="11">
        <v>48.0</v>
      </c>
    </row>
    <row r="28">
      <c r="A28" s="11" t="s">
        <v>36</v>
      </c>
      <c r="B28" s="11" t="s">
        <v>526</v>
      </c>
      <c r="C28" s="11">
        <v>5.0</v>
      </c>
      <c r="D28" s="11">
        <v>48.0</v>
      </c>
      <c r="P28" s="11">
        <v>48.0</v>
      </c>
    </row>
    <row r="29">
      <c r="A29" s="11" t="s">
        <v>36</v>
      </c>
      <c r="B29" s="11" t="s">
        <v>527</v>
      </c>
      <c r="C29" s="11">
        <v>5.0</v>
      </c>
      <c r="D29" s="11">
        <v>48.0</v>
      </c>
      <c r="P29" s="11">
        <v>48.0</v>
      </c>
    </row>
    <row r="30">
      <c r="A30" s="11" t="s">
        <v>36</v>
      </c>
      <c r="B30" s="11" t="s">
        <v>528</v>
      </c>
      <c r="C30" s="11">
        <v>5.0</v>
      </c>
      <c r="D30" s="11">
        <v>47.0</v>
      </c>
      <c r="P30" s="11">
        <v>47.0</v>
      </c>
    </row>
    <row r="31">
      <c r="A31" s="11" t="s">
        <v>36</v>
      </c>
      <c r="B31" s="11" t="s">
        <v>529</v>
      </c>
      <c r="C31" s="11">
        <v>5.0</v>
      </c>
      <c r="D31" s="11">
        <v>47.0</v>
      </c>
      <c r="P31" s="11">
        <v>47.0</v>
      </c>
    </row>
    <row r="32">
      <c r="A32" s="11" t="s">
        <v>36</v>
      </c>
      <c r="B32" s="11" t="s">
        <v>530</v>
      </c>
      <c r="C32" s="11">
        <v>5.0</v>
      </c>
      <c r="D32" s="11">
        <v>47.0</v>
      </c>
      <c r="P32" s="11">
        <v>47.0</v>
      </c>
      <c r="T32" s="12"/>
    </row>
    <row r="33">
      <c r="A33" s="11" t="s">
        <v>36</v>
      </c>
      <c r="B33" s="11" t="s">
        <v>531</v>
      </c>
      <c r="C33" s="11">
        <v>5.0</v>
      </c>
      <c r="D33" s="11">
        <v>47.0</v>
      </c>
      <c r="P33" s="11">
        <v>47.0</v>
      </c>
      <c r="T33" s="12"/>
    </row>
    <row r="34">
      <c r="A34" s="11" t="s">
        <v>36</v>
      </c>
      <c r="B34" s="11" t="s">
        <v>532</v>
      </c>
      <c r="C34" s="11">
        <v>8.0</v>
      </c>
      <c r="D34" s="11">
        <v>47.0</v>
      </c>
      <c r="P34" s="11">
        <v>47.0</v>
      </c>
      <c r="T34" s="12"/>
    </row>
    <row r="35">
      <c r="A35" s="11" t="s">
        <v>36</v>
      </c>
      <c r="B35" s="11" t="s">
        <v>533</v>
      </c>
      <c r="C35" s="11">
        <v>5.0</v>
      </c>
      <c r="D35" s="11">
        <v>47.0</v>
      </c>
      <c r="P35" s="11">
        <v>47.0</v>
      </c>
      <c r="T35" s="12"/>
    </row>
    <row r="36">
      <c r="A36" s="11" t="s">
        <v>36</v>
      </c>
      <c r="B36" s="11" t="s">
        <v>534</v>
      </c>
      <c r="C36" s="11">
        <v>7.0</v>
      </c>
      <c r="D36" s="11">
        <v>47.0</v>
      </c>
      <c r="P36" s="11">
        <v>47.0</v>
      </c>
      <c r="T36" s="12"/>
    </row>
    <row r="37">
      <c r="A37" s="11" t="s">
        <v>36</v>
      </c>
      <c r="B37" s="11" t="s">
        <v>535</v>
      </c>
      <c r="C37" s="11">
        <v>5.0</v>
      </c>
      <c r="D37" s="11">
        <v>11.0</v>
      </c>
      <c r="P37" s="11">
        <v>11.0</v>
      </c>
      <c r="T37" s="12"/>
    </row>
    <row r="38">
      <c r="A38" s="11" t="s">
        <v>36</v>
      </c>
      <c r="B38" s="11" t="s">
        <v>536</v>
      </c>
      <c r="C38" s="11">
        <v>4.0</v>
      </c>
      <c r="D38" s="11">
        <v>11.0</v>
      </c>
      <c r="P38" s="11">
        <v>11.0</v>
      </c>
      <c r="T38" s="12"/>
    </row>
    <row r="39">
      <c r="A39" s="11" t="s">
        <v>36</v>
      </c>
      <c r="B39" s="11" t="s">
        <v>537</v>
      </c>
      <c r="C39" s="11">
        <v>4.0</v>
      </c>
      <c r="D39" s="11">
        <v>11.0</v>
      </c>
      <c r="P39" s="11">
        <v>11.0</v>
      </c>
      <c r="T39" s="12"/>
    </row>
    <row r="40">
      <c r="A40" s="11" t="s">
        <v>36</v>
      </c>
      <c r="B40" s="11" t="s">
        <v>538</v>
      </c>
      <c r="C40" s="11">
        <v>6.0</v>
      </c>
      <c r="D40" s="11">
        <v>11.0</v>
      </c>
      <c r="P40" s="11">
        <v>11.0</v>
      </c>
      <c r="T40" s="12"/>
    </row>
    <row r="41">
      <c r="A41" s="11" t="s">
        <v>36</v>
      </c>
      <c r="B41" s="11" t="s">
        <v>539</v>
      </c>
      <c r="C41" s="11">
        <v>4.0</v>
      </c>
      <c r="D41" s="11">
        <v>12.0</v>
      </c>
      <c r="P41" s="11">
        <v>12.0</v>
      </c>
      <c r="T41" s="12"/>
    </row>
    <row r="42">
      <c r="A42" s="11" t="s">
        <v>36</v>
      </c>
      <c r="B42" s="11" t="s">
        <v>540</v>
      </c>
      <c r="C42" s="11">
        <v>4.0</v>
      </c>
      <c r="D42" s="11">
        <v>12.0</v>
      </c>
      <c r="P42" s="11">
        <v>12.0</v>
      </c>
    </row>
    <row r="43">
      <c r="A43" s="11" t="s">
        <v>36</v>
      </c>
      <c r="B43" s="11" t="s">
        <v>541</v>
      </c>
      <c r="C43" s="11">
        <v>4.0</v>
      </c>
      <c r="D43" s="11">
        <v>12.0</v>
      </c>
      <c r="P43" s="11">
        <v>12.0</v>
      </c>
    </row>
    <row r="44">
      <c r="A44" s="11" t="s">
        <v>36</v>
      </c>
      <c r="B44" s="11" t="s">
        <v>542</v>
      </c>
      <c r="C44" s="11">
        <v>4.0</v>
      </c>
      <c r="D44" s="11">
        <v>12.0</v>
      </c>
      <c r="P44" s="11">
        <v>12.0</v>
      </c>
    </row>
    <row r="45">
      <c r="A45" s="11" t="s">
        <v>36</v>
      </c>
      <c r="B45" s="11" t="s">
        <v>543</v>
      </c>
      <c r="C45" s="11">
        <v>4.0</v>
      </c>
      <c r="D45" s="11">
        <v>12.0</v>
      </c>
      <c r="P45" s="11">
        <v>12.0</v>
      </c>
    </row>
    <row r="46">
      <c r="A46" s="11" t="s">
        <v>36</v>
      </c>
      <c r="B46" s="11" t="s">
        <v>544</v>
      </c>
      <c r="C46" s="11">
        <v>5.0</v>
      </c>
      <c r="D46" s="11">
        <v>12.0</v>
      </c>
      <c r="P46" s="11">
        <v>12.0</v>
      </c>
    </row>
    <row r="47">
      <c r="A47" s="11" t="s">
        <v>36</v>
      </c>
      <c r="B47" s="11" t="s">
        <v>545</v>
      </c>
      <c r="C47" s="11">
        <v>5.0</v>
      </c>
      <c r="D47" s="11">
        <v>12.0</v>
      </c>
      <c r="P47" s="11">
        <v>12.0</v>
      </c>
    </row>
    <row r="48">
      <c r="A48" s="11" t="s">
        <v>36</v>
      </c>
      <c r="B48" s="11" t="s">
        <v>546</v>
      </c>
      <c r="C48" s="11">
        <v>4.0</v>
      </c>
      <c r="D48" s="11">
        <v>12.0</v>
      </c>
      <c r="P48" s="11">
        <v>12.0</v>
      </c>
    </row>
    <row r="49">
      <c r="A49" s="11" t="s">
        <v>36</v>
      </c>
      <c r="B49" s="11" t="s">
        <v>547</v>
      </c>
      <c r="C49" s="11">
        <v>4.0</v>
      </c>
      <c r="D49" s="11">
        <v>12.0</v>
      </c>
      <c r="P49" s="11">
        <v>12.0</v>
      </c>
    </row>
    <row r="50">
      <c r="A50" s="11" t="s">
        <v>36</v>
      </c>
      <c r="B50" s="11" t="s">
        <v>548</v>
      </c>
      <c r="C50" s="11">
        <v>5.0</v>
      </c>
      <c r="D50" s="11">
        <v>12.0</v>
      </c>
      <c r="P50" s="11">
        <v>12.0</v>
      </c>
    </row>
    <row r="51">
      <c r="A51" s="11" t="s">
        <v>36</v>
      </c>
      <c r="B51" s="11" t="s">
        <v>549</v>
      </c>
      <c r="C51" s="11">
        <v>5.0</v>
      </c>
      <c r="D51" s="11">
        <v>12.0</v>
      </c>
      <c r="P51" s="11">
        <v>12.0</v>
      </c>
    </row>
    <row r="52">
      <c r="A52" s="11" t="s">
        <v>36</v>
      </c>
      <c r="B52" s="11" t="s">
        <v>550</v>
      </c>
      <c r="C52" s="11">
        <v>4.0</v>
      </c>
      <c r="D52" s="11">
        <v>12.0</v>
      </c>
      <c r="P52" s="11">
        <v>12.0</v>
      </c>
    </row>
    <row r="53">
      <c r="A53" s="11" t="s">
        <v>36</v>
      </c>
      <c r="B53" s="11" t="s">
        <v>551</v>
      </c>
      <c r="C53" s="11">
        <v>5.0</v>
      </c>
      <c r="D53" s="11">
        <v>12.0</v>
      </c>
      <c r="P53" s="11">
        <v>12.0</v>
      </c>
    </row>
    <row r="54">
      <c r="A54" s="11" t="s">
        <v>36</v>
      </c>
      <c r="B54" s="11" t="s">
        <v>552</v>
      </c>
      <c r="C54" s="11">
        <v>4.0</v>
      </c>
      <c r="D54" s="11">
        <v>11.0</v>
      </c>
      <c r="P54" s="11">
        <v>11.0</v>
      </c>
    </row>
    <row r="55">
      <c r="A55" s="11" t="s">
        <v>36</v>
      </c>
      <c r="B55" s="11" t="s">
        <v>553</v>
      </c>
      <c r="C55" s="11">
        <v>4.0</v>
      </c>
      <c r="D55" s="11">
        <v>11.0</v>
      </c>
      <c r="P55" s="11">
        <v>11.0</v>
      </c>
    </row>
    <row r="56">
      <c r="A56" s="11" t="s">
        <v>36</v>
      </c>
      <c r="B56" s="11" t="s">
        <v>554</v>
      </c>
      <c r="C56" s="11">
        <v>4.0</v>
      </c>
      <c r="D56" s="11">
        <v>11.0</v>
      </c>
      <c r="P56" s="11">
        <v>11.0</v>
      </c>
    </row>
    <row r="57">
      <c r="A57" s="11" t="s">
        <v>36</v>
      </c>
      <c r="B57" s="11" t="s">
        <v>555</v>
      </c>
      <c r="C57" s="11">
        <v>4.0</v>
      </c>
      <c r="D57" s="11">
        <v>11.0</v>
      </c>
      <c r="P57" s="11">
        <v>11.0</v>
      </c>
    </row>
    <row r="58">
      <c r="A58" s="11" t="s">
        <v>36</v>
      </c>
      <c r="B58" s="11" t="s">
        <v>556</v>
      </c>
      <c r="C58" s="11">
        <v>5.0</v>
      </c>
      <c r="D58" s="11">
        <v>11.0</v>
      </c>
      <c r="P58" s="11">
        <v>11.0</v>
      </c>
    </row>
    <row r="59">
      <c r="A59" s="11" t="s">
        <v>36</v>
      </c>
      <c r="B59" s="11" t="s">
        <v>557</v>
      </c>
      <c r="C59" s="11">
        <v>5.0</v>
      </c>
      <c r="D59" s="11">
        <v>11.0</v>
      </c>
      <c r="P59" s="11">
        <v>11.0</v>
      </c>
    </row>
    <row r="60">
      <c r="A60" s="11" t="s">
        <v>36</v>
      </c>
      <c r="B60" s="11" t="s">
        <v>558</v>
      </c>
      <c r="C60" s="11">
        <v>5.0</v>
      </c>
      <c r="D60" s="11">
        <v>12.0</v>
      </c>
      <c r="P60" s="11">
        <v>12.0</v>
      </c>
    </row>
    <row r="61">
      <c r="A61" s="11" t="s">
        <v>36</v>
      </c>
      <c r="B61" s="11" t="s">
        <v>559</v>
      </c>
      <c r="C61" s="11">
        <v>5.0</v>
      </c>
      <c r="D61" s="11">
        <v>13.0</v>
      </c>
      <c r="P61" s="11">
        <v>13.0</v>
      </c>
    </row>
    <row r="62">
      <c r="A62" s="11" t="s">
        <v>36</v>
      </c>
      <c r="B62" s="11" t="s">
        <v>560</v>
      </c>
      <c r="C62" s="11">
        <v>5.0</v>
      </c>
      <c r="D62" s="11">
        <v>13.0</v>
      </c>
      <c r="P62" s="11">
        <v>13.0</v>
      </c>
    </row>
    <row r="63">
      <c r="A63" s="11" t="s">
        <v>36</v>
      </c>
      <c r="B63" s="11" t="s">
        <v>561</v>
      </c>
      <c r="C63" s="11">
        <v>5.0</v>
      </c>
      <c r="D63" s="11">
        <v>13.0</v>
      </c>
      <c r="P63" s="11">
        <v>13.0</v>
      </c>
    </row>
    <row r="64">
      <c r="A64" s="11" t="s">
        <v>36</v>
      </c>
      <c r="B64" s="11" t="s">
        <v>562</v>
      </c>
      <c r="C64" s="11">
        <v>5.0</v>
      </c>
      <c r="D64" s="11">
        <v>13.0</v>
      </c>
      <c r="P64" s="11">
        <v>13.0</v>
      </c>
    </row>
    <row r="65">
      <c r="A65" s="11" t="s">
        <v>36</v>
      </c>
      <c r="B65" s="11" t="s">
        <v>563</v>
      </c>
      <c r="C65" s="11">
        <v>5.0</v>
      </c>
      <c r="D65" s="11">
        <v>14.0</v>
      </c>
      <c r="P65" s="11">
        <v>14.0</v>
      </c>
    </row>
    <row r="66">
      <c r="A66" s="11" t="s">
        <v>36</v>
      </c>
      <c r="B66" s="11" t="s">
        <v>564</v>
      </c>
      <c r="C66" s="11">
        <v>5.0</v>
      </c>
      <c r="D66" s="11">
        <v>14.0</v>
      </c>
      <c r="P66" s="11">
        <v>14.0</v>
      </c>
    </row>
    <row r="67">
      <c r="A67" s="11" t="s">
        <v>36</v>
      </c>
      <c r="B67" s="11" t="s">
        <v>565</v>
      </c>
      <c r="C67" s="11">
        <v>5.0</v>
      </c>
      <c r="D67" s="11">
        <v>15.0</v>
      </c>
      <c r="P67" s="11">
        <v>15.0</v>
      </c>
    </row>
    <row r="68">
      <c r="A68" s="11" t="s">
        <v>36</v>
      </c>
      <c r="B68" s="11" t="s">
        <v>566</v>
      </c>
      <c r="C68" s="11">
        <v>6.0</v>
      </c>
      <c r="D68" s="11">
        <v>15.0</v>
      </c>
      <c r="P68" s="11">
        <v>15.0</v>
      </c>
    </row>
    <row r="69">
      <c r="A69" s="11" t="s">
        <v>36</v>
      </c>
      <c r="B69" s="11" t="s">
        <v>567</v>
      </c>
      <c r="C69" s="11">
        <v>4.0</v>
      </c>
      <c r="D69" s="11">
        <v>15.0</v>
      </c>
      <c r="P69" s="11">
        <v>15.0</v>
      </c>
    </row>
    <row r="70">
      <c r="A70" s="11" t="s">
        <v>36</v>
      </c>
      <c r="B70" s="11" t="s">
        <v>568</v>
      </c>
      <c r="C70" s="11">
        <v>5.0</v>
      </c>
      <c r="D70" s="11">
        <v>15.0</v>
      </c>
      <c r="P70" s="11">
        <v>15.0</v>
      </c>
    </row>
    <row r="71">
      <c r="A71" s="11" t="s">
        <v>36</v>
      </c>
      <c r="B71" s="11" t="s">
        <v>569</v>
      </c>
      <c r="C71" s="11">
        <v>5.0</v>
      </c>
      <c r="D71" s="11">
        <v>14.0</v>
      </c>
      <c r="P71" s="11">
        <v>14.0</v>
      </c>
    </row>
    <row r="73">
      <c r="A73" s="11" t="s">
        <v>496</v>
      </c>
      <c r="B73" s="11" t="s">
        <v>497</v>
      </c>
    </row>
    <row r="74">
      <c r="A74" s="10" t="s">
        <v>36</v>
      </c>
      <c r="B74" s="10" t="s">
        <v>500</v>
      </c>
      <c r="E74" s="13"/>
      <c r="F74" s="13"/>
      <c r="G74" s="13"/>
      <c r="H74" s="13"/>
      <c r="I74" s="13"/>
      <c r="J74" s="13"/>
      <c r="K74" s="13"/>
      <c r="L74" s="13"/>
      <c r="M74" s="13"/>
      <c r="P74" s="13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>
      <c r="A75" s="10" t="s">
        <v>36</v>
      </c>
      <c r="B75" s="10" t="s">
        <v>503</v>
      </c>
      <c r="E75" s="13"/>
      <c r="F75" s="13"/>
      <c r="G75" s="13"/>
      <c r="H75" s="13"/>
      <c r="I75" s="13"/>
      <c r="J75" s="13"/>
      <c r="K75" s="13"/>
      <c r="L75" s="13"/>
      <c r="M75" s="13"/>
      <c r="P75" s="13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>
      <c r="A76" s="10" t="s">
        <v>36</v>
      </c>
      <c r="B76" s="10" t="s">
        <v>505</v>
      </c>
      <c r="E76" s="13"/>
      <c r="F76" s="13"/>
      <c r="G76" s="13"/>
      <c r="H76" s="13"/>
      <c r="I76" s="13"/>
      <c r="J76" s="13"/>
      <c r="K76" s="13"/>
      <c r="L76" s="13"/>
      <c r="M76" s="13"/>
      <c r="P76" s="13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>
      <c r="A77" s="10" t="s">
        <v>36</v>
      </c>
      <c r="B77" s="10" t="s">
        <v>506</v>
      </c>
      <c r="E77" s="13"/>
      <c r="F77" s="13"/>
      <c r="G77" s="13"/>
      <c r="H77" s="13"/>
      <c r="I77" s="13"/>
      <c r="J77" s="13"/>
      <c r="K77" s="13"/>
      <c r="L77" s="13"/>
      <c r="M77" s="13"/>
      <c r="P77" s="13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>
      <c r="A78" s="10" t="s">
        <v>36</v>
      </c>
      <c r="B78" s="10" t="s">
        <v>508</v>
      </c>
      <c r="E78" s="13"/>
      <c r="F78" s="13"/>
      <c r="G78" s="13"/>
      <c r="H78" s="13"/>
      <c r="I78" s="13"/>
      <c r="J78" s="13"/>
      <c r="K78" s="13"/>
      <c r="L78" s="13"/>
      <c r="M78" s="13"/>
      <c r="P78" s="13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>
      <c r="A79" s="10" t="s">
        <v>36</v>
      </c>
      <c r="B79" s="10" t="s">
        <v>535</v>
      </c>
      <c r="E79" s="13"/>
      <c r="F79" s="13"/>
      <c r="G79" s="13"/>
      <c r="H79" s="13"/>
      <c r="I79" s="13"/>
      <c r="J79" s="13"/>
      <c r="K79" s="13"/>
      <c r="L79" s="13"/>
      <c r="M79" s="13"/>
      <c r="P79" s="13"/>
      <c r="Q79" s="10"/>
      <c r="R79" s="10"/>
      <c r="S79" s="10"/>
      <c r="T79" s="14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95">
      <c r="A95" s="11" t="s">
        <v>496</v>
      </c>
      <c r="B95" s="11" t="s">
        <v>497</v>
      </c>
      <c r="C95" s="11" t="s">
        <v>498</v>
      </c>
      <c r="D95" s="11" t="s">
        <v>499</v>
      </c>
      <c r="E95" s="11" t="s">
        <v>69</v>
      </c>
      <c r="F95" s="11" t="s">
        <v>86</v>
      </c>
      <c r="G95" s="11" t="s">
        <v>89</v>
      </c>
      <c r="H95" s="11" t="s">
        <v>108</v>
      </c>
      <c r="I95" s="11" t="s">
        <v>116</v>
      </c>
      <c r="J95" s="11" t="s">
        <v>128</v>
      </c>
      <c r="K95" s="11" t="s">
        <v>145</v>
      </c>
      <c r="L95" s="11" t="s">
        <v>157</v>
      </c>
      <c r="M95" s="11" t="s">
        <v>169</v>
      </c>
      <c r="P95" s="11" t="s">
        <v>499</v>
      </c>
    </row>
    <row r="96">
      <c r="A96" s="10" t="s">
        <v>45</v>
      </c>
      <c r="B96" s="10" t="s">
        <v>570</v>
      </c>
      <c r="C96" s="13">
        <v>5.0</v>
      </c>
      <c r="D96" s="13">
        <v>11.0</v>
      </c>
      <c r="E96" s="13">
        <v>1.0</v>
      </c>
      <c r="F96" s="13">
        <v>1.0</v>
      </c>
      <c r="G96" s="13">
        <v>0.0</v>
      </c>
      <c r="H96" s="13">
        <v>0.0</v>
      </c>
      <c r="I96" s="13">
        <v>0.0</v>
      </c>
      <c r="J96" s="13">
        <v>1.0</v>
      </c>
      <c r="K96" s="13">
        <v>1.0</v>
      </c>
      <c r="L96" s="13">
        <v>0.0</v>
      </c>
      <c r="M96" s="13">
        <v>1.0</v>
      </c>
      <c r="P96" s="13">
        <v>11.0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>
      <c r="A97" s="10" t="s">
        <v>45</v>
      </c>
      <c r="B97" s="10" t="s">
        <v>571</v>
      </c>
      <c r="C97" s="13">
        <v>5.0</v>
      </c>
      <c r="D97" s="13">
        <v>14.0</v>
      </c>
      <c r="E97" s="13">
        <v>1.0</v>
      </c>
      <c r="F97" s="13">
        <v>1.0</v>
      </c>
      <c r="G97" s="13">
        <v>0.0</v>
      </c>
      <c r="H97" s="13">
        <v>0.0</v>
      </c>
      <c r="I97" s="13">
        <v>0.0</v>
      </c>
      <c r="J97" s="13">
        <v>1.0</v>
      </c>
      <c r="K97" s="13">
        <v>1.0</v>
      </c>
      <c r="L97" s="13">
        <v>0.0</v>
      </c>
      <c r="M97" s="13">
        <v>1.0</v>
      </c>
      <c r="P97" s="13">
        <v>14.0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>
      <c r="A98" s="10" t="s">
        <v>45</v>
      </c>
      <c r="B98" s="10" t="s">
        <v>572</v>
      </c>
      <c r="C98" s="13">
        <v>5.0</v>
      </c>
      <c r="D98" s="13">
        <v>12.0</v>
      </c>
      <c r="E98" s="13">
        <v>1.0</v>
      </c>
      <c r="F98" s="13">
        <v>1.0</v>
      </c>
      <c r="G98" s="13">
        <v>0.0</v>
      </c>
      <c r="H98" s="13">
        <v>0.0</v>
      </c>
      <c r="I98" s="13">
        <v>0.0</v>
      </c>
      <c r="J98" s="13">
        <v>1.0</v>
      </c>
      <c r="K98" s="13">
        <v>1.0</v>
      </c>
      <c r="L98" s="13">
        <v>0.0</v>
      </c>
      <c r="M98" s="13">
        <v>1.0</v>
      </c>
      <c r="P98" s="13">
        <v>12.0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</cols>
  <sheetData>
    <row r="1">
      <c r="A1" s="11" t="s">
        <v>573</v>
      </c>
      <c r="B1" s="7" t="s">
        <v>574</v>
      </c>
      <c r="C1" s="11" t="s">
        <v>47</v>
      </c>
      <c r="D1" s="11" t="s">
        <v>69</v>
      </c>
      <c r="E1" s="11" t="s">
        <v>86</v>
      </c>
      <c r="F1" s="11" t="s">
        <v>89</v>
      </c>
      <c r="G1" s="11" t="s">
        <v>108</v>
      </c>
      <c r="H1" s="11" t="s">
        <v>116</v>
      </c>
      <c r="I1" s="11" t="s">
        <v>128</v>
      </c>
      <c r="J1" s="11" t="s">
        <v>145</v>
      </c>
      <c r="K1" s="11" t="s">
        <v>157</v>
      </c>
      <c r="L1" s="11" t="s">
        <v>169</v>
      </c>
      <c r="M1" s="11" t="s">
        <v>498</v>
      </c>
      <c r="N1" s="11" t="s">
        <v>575</v>
      </c>
    </row>
    <row r="2">
      <c r="A2" s="11" t="s">
        <v>576</v>
      </c>
      <c r="B2" s="15">
        <v>4.0</v>
      </c>
      <c r="C2" s="11">
        <v>0.0</v>
      </c>
      <c r="D2" s="11">
        <v>120.0</v>
      </c>
      <c r="E2" s="11">
        <v>120.0</v>
      </c>
      <c r="F2" s="11">
        <v>0.0</v>
      </c>
      <c r="G2" s="11">
        <v>0.0</v>
      </c>
      <c r="H2" s="11">
        <v>0.0</v>
      </c>
      <c r="I2" s="11">
        <v>3.0</v>
      </c>
      <c r="J2" s="11">
        <v>120.0</v>
      </c>
      <c r="K2" s="11">
        <v>0.0</v>
      </c>
      <c r="L2" s="11">
        <v>120.0</v>
      </c>
      <c r="M2" s="11">
        <v>0.0</v>
      </c>
      <c r="N2" s="11">
        <v>483.0</v>
      </c>
    </row>
    <row r="3">
      <c r="A3" s="11" t="s">
        <v>577</v>
      </c>
      <c r="B3" s="15">
        <v>5.0</v>
      </c>
      <c r="C3" s="11">
        <v>0.0</v>
      </c>
      <c r="D3" s="11">
        <v>58.0</v>
      </c>
      <c r="E3" s="11">
        <v>58.0</v>
      </c>
      <c r="F3" s="11">
        <v>0.0</v>
      </c>
      <c r="G3" s="11">
        <v>0.0</v>
      </c>
      <c r="H3" s="11">
        <v>0.0</v>
      </c>
      <c r="I3" s="11">
        <v>6.0</v>
      </c>
      <c r="J3" s="11">
        <v>58.0</v>
      </c>
      <c r="K3" s="11">
        <v>1.0</v>
      </c>
      <c r="L3" s="11">
        <v>58.0</v>
      </c>
      <c r="M3" s="11">
        <v>0.0</v>
      </c>
      <c r="N3" s="11">
        <v>239.0</v>
      </c>
    </row>
    <row r="4">
      <c r="A4" s="11" t="s">
        <v>578</v>
      </c>
      <c r="B4" s="15">
        <v>6.0</v>
      </c>
      <c r="C4" s="11">
        <v>0.0</v>
      </c>
      <c r="D4" s="11">
        <v>8.0</v>
      </c>
      <c r="E4" s="11">
        <v>8.0</v>
      </c>
      <c r="F4" s="11">
        <v>1.0</v>
      </c>
      <c r="G4" s="11">
        <v>0.0</v>
      </c>
      <c r="H4" s="11">
        <v>1.0</v>
      </c>
      <c r="I4" s="11">
        <v>6.0</v>
      </c>
      <c r="J4" s="11">
        <v>8.0</v>
      </c>
      <c r="K4" s="11">
        <v>0.0</v>
      </c>
      <c r="L4" s="11">
        <v>8.0</v>
      </c>
      <c r="M4" s="11">
        <v>0.0</v>
      </c>
      <c r="N4" s="11">
        <v>40.0</v>
      </c>
    </row>
    <row r="5">
      <c r="A5" s="11" t="s">
        <v>579</v>
      </c>
      <c r="B5" s="15">
        <v>7.0</v>
      </c>
      <c r="C5" s="11">
        <v>0.0</v>
      </c>
      <c r="D5" s="11">
        <v>1.0</v>
      </c>
      <c r="E5" s="11">
        <v>1.0</v>
      </c>
      <c r="F5" s="11">
        <v>0.0</v>
      </c>
      <c r="G5" s="11">
        <v>0.0</v>
      </c>
      <c r="H5" s="11">
        <v>0.0</v>
      </c>
      <c r="I5" s="11">
        <v>0.0</v>
      </c>
      <c r="J5" s="11">
        <v>1.0</v>
      </c>
      <c r="K5" s="11">
        <v>0.0</v>
      </c>
      <c r="L5" s="11">
        <v>1.0</v>
      </c>
      <c r="M5" s="11">
        <v>0.0</v>
      </c>
      <c r="N5" s="11">
        <v>4.0</v>
      </c>
    </row>
    <row r="6">
      <c r="A6" s="11" t="s">
        <v>580</v>
      </c>
      <c r="B6" s="15">
        <v>7.0</v>
      </c>
      <c r="C6" s="11">
        <v>0.0</v>
      </c>
      <c r="D6" s="11">
        <v>13.0</v>
      </c>
      <c r="E6" s="11">
        <v>14.0</v>
      </c>
      <c r="F6" s="11">
        <v>1.0</v>
      </c>
      <c r="G6" s="11">
        <v>0.0</v>
      </c>
      <c r="H6" s="11">
        <v>1.0</v>
      </c>
      <c r="I6" s="11">
        <v>6.0</v>
      </c>
      <c r="J6" s="11">
        <v>14.0</v>
      </c>
      <c r="K6" s="11">
        <v>3.0</v>
      </c>
      <c r="L6" s="11">
        <v>14.0</v>
      </c>
      <c r="M6" s="11">
        <v>0.0</v>
      </c>
      <c r="N6" s="11">
        <v>66.0</v>
      </c>
    </row>
    <row r="7">
      <c r="A7" s="11" t="s">
        <v>581</v>
      </c>
      <c r="B7" s="15">
        <v>8.0</v>
      </c>
      <c r="C7" s="11">
        <v>0.0</v>
      </c>
      <c r="D7" s="11">
        <v>9.0</v>
      </c>
      <c r="E7" s="11">
        <v>10.0</v>
      </c>
      <c r="F7" s="11">
        <v>1.0</v>
      </c>
      <c r="G7" s="11">
        <v>0.0</v>
      </c>
      <c r="H7" s="11">
        <v>1.0</v>
      </c>
      <c r="I7" s="11">
        <v>2.0</v>
      </c>
      <c r="J7" s="11">
        <v>10.0</v>
      </c>
      <c r="K7" s="11">
        <v>1.0</v>
      </c>
      <c r="L7" s="11">
        <v>10.0</v>
      </c>
      <c r="M7" s="11">
        <v>0.0</v>
      </c>
      <c r="N7" s="11">
        <v>44.0</v>
      </c>
    </row>
    <row r="8">
      <c r="A8" s="11" t="s">
        <v>582</v>
      </c>
      <c r="B8" s="15">
        <v>9.0</v>
      </c>
      <c r="C8" s="11">
        <v>0.0</v>
      </c>
      <c r="D8" s="11">
        <v>8.0</v>
      </c>
      <c r="E8" s="11">
        <v>9.0</v>
      </c>
      <c r="F8" s="11">
        <v>3.0</v>
      </c>
      <c r="G8" s="11">
        <v>0.0</v>
      </c>
      <c r="H8" s="11">
        <v>1.0</v>
      </c>
      <c r="I8" s="11">
        <v>6.0</v>
      </c>
      <c r="J8" s="11">
        <v>9.0</v>
      </c>
      <c r="K8" s="11">
        <v>1.0</v>
      </c>
      <c r="L8" s="11">
        <v>9.0</v>
      </c>
      <c r="M8" s="11">
        <v>0.0</v>
      </c>
      <c r="N8" s="11">
        <v>46.0</v>
      </c>
    </row>
    <row r="9">
      <c r="A9" s="11" t="s">
        <v>583</v>
      </c>
      <c r="B9" s="15">
        <v>9.0</v>
      </c>
      <c r="C9" s="11">
        <v>0.0</v>
      </c>
      <c r="D9" s="11">
        <v>13.0</v>
      </c>
      <c r="E9" s="11">
        <v>13.0</v>
      </c>
      <c r="F9" s="11">
        <v>0.0</v>
      </c>
      <c r="G9" s="11">
        <v>0.0</v>
      </c>
      <c r="H9" s="11">
        <v>0.0</v>
      </c>
      <c r="I9" s="11">
        <v>5.0</v>
      </c>
      <c r="J9" s="11">
        <v>13.0</v>
      </c>
      <c r="K9" s="11">
        <v>0.0</v>
      </c>
      <c r="L9" s="11">
        <v>13.0</v>
      </c>
      <c r="M9" s="11">
        <v>0.0</v>
      </c>
      <c r="N9" s="11">
        <v>57.0</v>
      </c>
    </row>
    <row r="10">
      <c r="A10" s="11" t="s">
        <v>584</v>
      </c>
      <c r="B10" s="15">
        <v>9.0</v>
      </c>
      <c r="C10" s="11">
        <v>1.0</v>
      </c>
      <c r="D10" s="11">
        <v>33.0</v>
      </c>
      <c r="E10" s="11">
        <v>33.0</v>
      </c>
      <c r="F10" s="11">
        <v>2.0</v>
      </c>
      <c r="G10" s="11">
        <v>0.0</v>
      </c>
      <c r="H10" s="11">
        <v>0.0</v>
      </c>
      <c r="I10" s="11">
        <v>30.0</v>
      </c>
      <c r="J10" s="11">
        <v>33.0</v>
      </c>
      <c r="K10" s="11">
        <v>1.0</v>
      </c>
      <c r="L10" s="11">
        <v>33.0</v>
      </c>
      <c r="M10" s="11">
        <v>0.0</v>
      </c>
      <c r="N10" s="11">
        <v>166.0</v>
      </c>
    </row>
    <row r="11">
      <c r="A11" s="11" t="s">
        <v>585</v>
      </c>
      <c r="B11" s="15">
        <v>9.0</v>
      </c>
      <c r="C11" s="11">
        <v>1.0</v>
      </c>
      <c r="D11" s="11">
        <v>42.0</v>
      </c>
      <c r="E11" s="11">
        <v>43.0</v>
      </c>
      <c r="F11" s="11">
        <v>3.0</v>
      </c>
      <c r="G11" s="11">
        <v>0.0</v>
      </c>
      <c r="H11" s="11">
        <v>0.0</v>
      </c>
      <c r="I11" s="11">
        <v>14.0</v>
      </c>
      <c r="J11" s="11">
        <v>43.0</v>
      </c>
      <c r="K11" s="11">
        <v>1.0</v>
      </c>
      <c r="L11" s="11">
        <v>43.0</v>
      </c>
      <c r="M11" s="11">
        <v>0.0</v>
      </c>
      <c r="N11" s="11">
        <v>190.0</v>
      </c>
    </row>
    <row r="12">
      <c r="A12" s="11" t="s">
        <v>586</v>
      </c>
      <c r="B12" s="15">
        <v>10.0</v>
      </c>
      <c r="C12" s="11">
        <v>3.0</v>
      </c>
      <c r="D12" s="11">
        <v>4.0</v>
      </c>
      <c r="E12" s="11">
        <v>4.0</v>
      </c>
      <c r="F12" s="11">
        <v>1.0</v>
      </c>
      <c r="G12" s="11">
        <v>0.0</v>
      </c>
      <c r="H12" s="11">
        <v>3.0</v>
      </c>
      <c r="I12" s="11">
        <v>2.0</v>
      </c>
      <c r="J12" s="11">
        <v>4.0</v>
      </c>
      <c r="K12" s="11">
        <v>0.0</v>
      </c>
      <c r="L12" s="11">
        <v>4.0</v>
      </c>
      <c r="M12" s="11">
        <v>0.0</v>
      </c>
      <c r="N12" s="11">
        <v>25.0</v>
      </c>
    </row>
    <row r="13">
      <c r="A13" s="11" t="s">
        <v>587</v>
      </c>
      <c r="B13" s="15">
        <v>10.0</v>
      </c>
      <c r="C13" s="11">
        <v>2.0</v>
      </c>
      <c r="D13" s="11">
        <v>9.0</v>
      </c>
      <c r="E13" s="11">
        <v>9.0</v>
      </c>
      <c r="F13" s="11">
        <v>0.0</v>
      </c>
      <c r="G13" s="11">
        <v>3.0</v>
      </c>
      <c r="H13" s="11">
        <v>3.0</v>
      </c>
      <c r="I13" s="11">
        <v>5.0</v>
      </c>
      <c r="J13" s="11">
        <v>9.0</v>
      </c>
      <c r="K13" s="11">
        <v>0.0</v>
      </c>
      <c r="L13" s="11">
        <v>9.0</v>
      </c>
      <c r="M13" s="11">
        <v>0.0</v>
      </c>
      <c r="N13" s="11">
        <v>49.0</v>
      </c>
    </row>
    <row r="14">
      <c r="A14" s="11" t="s">
        <v>588</v>
      </c>
      <c r="B14" s="15">
        <v>11.0</v>
      </c>
      <c r="C14" s="11">
        <v>0.0</v>
      </c>
      <c r="D14" s="11">
        <v>4.0</v>
      </c>
      <c r="E14" s="11">
        <v>4.0</v>
      </c>
      <c r="F14" s="11">
        <v>0.0</v>
      </c>
      <c r="G14" s="11">
        <v>0.0</v>
      </c>
      <c r="H14" s="11">
        <v>0.0</v>
      </c>
      <c r="I14" s="11">
        <v>3.0</v>
      </c>
      <c r="J14" s="11">
        <v>4.0</v>
      </c>
      <c r="K14" s="11">
        <v>0.0</v>
      </c>
      <c r="L14" s="11">
        <v>4.0</v>
      </c>
      <c r="M14" s="11">
        <v>0.0</v>
      </c>
      <c r="N14" s="11">
        <v>19.0</v>
      </c>
    </row>
    <row r="15">
      <c r="A15" s="11" t="s">
        <v>589</v>
      </c>
      <c r="B15" s="15">
        <v>11.0</v>
      </c>
      <c r="C15" s="11">
        <v>3.0</v>
      </c>
      <c r="D15" s="11">
        <v>10.0</v>
      </c>
      <c r="E15" s="11">
        <v>12.0</v>
      </c>
      <c r="F15" s="11">
        <v>4.0</v>
      </c>
      <c r="G15" s="11">
        <v>0.0</v>
      </c>
      <c r="H15" s="11">
        <v>1.0</v>
      </c>
      <c r="I15" s="11">
        <v>8.0</v>
      </c>
      <c r="J15" s="11">
        <v>12.0</v>
      </c>
      <c r="K15" s="11">
        <v>0.0</v>
      </c>
      <c r="L15" s="11">
        <v>12.0</v>
      </c>
      <c r="M15" s="11">
        <v>0.0</v>
      </c>
      <c r="N15" s="11">
        <v>62.0</v>
      </c>
    </row>
    <row r="16">
      <c r="A16" s="11" t="s">
        <v>590</v>
      </c>
      <c r="B16" s="15">
        <v>11.0</v>
      </c>
      <c r="C16" s="11">
        <v>1.0</v>
      </c>
      <c r="D16" s="11">
        <v>29.0</v>
      </c>
      <c r="E16" s="11">
        <v>30.0</v>
      </c>
      <c r="F16" s="11">
        <v>4.0</v>
      </c>
      <c r="G16" s="11">
        <v>0.0</v>
      </c>
      <c r="H16" s="11">
        <v>0.0</v>
      </c>
      <c r="I16" s="11">
        <v>19.0</v>
      </c>
      <c r="J16" s="11">
        <v>30.0</v>
      </c>
      <c r="K16" s="11">
        <v>0.0</v>
      </c>
      <c r="L16" s="11">
        <v>30.0</v>
      </c>
      <c r="M16" s="11">
        <v>0.0</v>
      </c>
      <c r="N16" s="11">
        <v>143.0</v>
      </c>
    </row>
    <row r="17">
      <c r="A17" s="11" t="s">
        <v>591</v>
      </c>
      <c r="B17" s="15">
        <v>12.0</v>
      </c>
      <c r="C17" s="11">
        <v>3.0</v>
      </c>
      <c r="D17" s="11">
        <v>9.0</v>
      </c>
      <c r="E17" s="11">
        <v>11.0</v>
      </c>
      <c r="F17" s="11">
        <v>3.0</v>
      </c>
      <c r="G17" s="11">
        <v>0.0</v>
      </c>
      <c r="H17" s="11">
        <v>1.0</v>
      </c>
      <c r="I17" s="11">
        <v>5.0</v>
      </c>
      <c r="J17" s="11">
        <v>11.0</v>
      </c>
      <c r="K17" s="11">
        <v>0.0</v>
      </c>
      <c r="L17" s="11">
        <v>11.0</v>
      </c>
      <c r="M17" s="11">
        <v>0.0</v>
      </c>
      <c r="N17" s="11">
        <v>54.0</v>
      </c>
    </row>
    <row r="18">
      <c r="A18" s="11" t="s">
        <v>592</v>
      </c>
      <c r="B18" s="15">
        <v>12.0</v>
      </c>
      <c r="C18" s="11">
        <v>1.0</v>
      </c>
      <c r="D18" s="11">
        <v>12.0</v>
      </c>
      <c r="E18" s="11">
        <v>13.0</v>
      </c>
      <c r="F18" s="11">
        <v>4.0</v>
      </c>
      <c r="G18" s="11">
        <v>0.0</v>
      </c>
      <c r="H18" s="11">
        <v>1.0</v>
      </c>
      <c r="I18" s="11">
        <v>12.0</v>
      </c>
      <c r="J18" s="11">
        <v>13.0</v>
      </c>
      <c r="K18" s="11">
        <v>3.0</v>
      </c>
      <c r="L18" s="11">
        <v>13.0</v>
      </c>
      <c r="M18" s="11">
        <v>0.0</v>
      </c>
      <c r="N18" s="11">
        <v>72.0</v>
      </c>
    </row>
    <row r="19">
      <c r="A19" s="11" t="s">
        <v>593</v>
      </c>
      <c r="B19" s="15">
        <v>12.0</v>
      </c>
      <c r="C19" s="11">
        <v>3.0</v>
      </c>
      <c r="D19" s="11">
        <v>17.0</v>
      </c>
      <c r="E19" s="11">
        <v>17.0</v>
      </c>
      <c r="F19" s="11">
        <v>3.0</v>
      </c>
      <c r="G19" s="11">
        <v>2.0</v>
      </c>
      <c r="H19" s="11">
        <v>3.0</v>
      </c>
      <c r="I19" s="11">
        <v>1.0</v>
      </c>
      <c r="J19" s="11">
        <v>17.0</v>
      </c>
      <c r="K19" s="11">
        <v>0.0</v>
      </c>
      <c r="L19" s="11">
        <v>17.0</v>
      </c>
      <c r="M19" s="11">
        <v>0.0</v>
      </c>
      <c r="N19" s="11">
        <v>80.0</v>
      </c>
    </row>
    <row r="20">
      <c r="A20" s="11" t="s">
        <v>594</v>
      </c>
      <c r="B20" s="15">
        <v>12.0</v>
      </c>
      <c r="C20" s="11">
        <v>5.0</v>
      </c>
      <c r="D20" s="11">
        <v>37.0</v>
      </c>
      <c r="E20" s="11">
        <v>37.0</v>
      </c>
      <c r="F20" s="11">
        <v>2.0</v>
      </c>
      <c r="G20" s="11">
        <v>0.0</v>
      </c>
      <c r="H20" s="11">
        <v>5.0</v>
      </c>
      <c r="I20" s="11">
        <v>14.0</v>
      </c>
      <c r="J20" s="11">
        <v>37.0</v>
      </c>
      <c r="K20" s="11">
        <v>0.0</v>
      </c>
      <c r="L20" s="11">
        <v>37.0</v>
      </c>
      <c r="M20" s="11">
        <v>0.0</v>
      </c>
      <c r="N20" s="11">
        <v>174.0</v>
      </c>
    </row>
    <row r="21">
      <c r="A21" s="11" t="s">
        <v>595</v>
      </c>
      <c r="B21" s="15">
        <v>12.0</v>
      </c>
      <c r="C21" s="11">
        <v>0.0</v>
      </c>
      <c r="D21" s="11">
        <v>41.0</v>
      </c>
      <c r="E21" s="11">
        <v>42.0</v>
      </c>
      <c r="F21" s="11">
        <v>2.0</v>
      </c>
      <c r="G21" s="11">
        <v>0.0</v>
      </c>
      <c r="H21" s="11">
        <v>2.0</v>
      </c>
      <c r="I21" s="11">
        <v>25.0</v>
      </c>
      <c r="J21" s="11">
        <v>42.0</v>
      </c>
      <c r="K21" s="11">
        <v>8.0</v>
      </c>
      <c r="L21" s="11">
        <v>42.0</v>
      </c>
      <c r="M21" s="11">
        <v>0.0</v>
      </c>
      <c r="N21" s="11">
        <v>204.0</v>
      </c>
    </row>
    <row r="22">
      <c r="A22" s="11" t="s">
        <v>596</v>
      </c>
      <c r="B22" s="15">
        <v>12.0</v>
      </c>
      <c r="C22" s="11">
        <v>7.0</v>
      </c>
      <c r="D22" s="11">
        <v>942.0</v>
      </c>
      <c r="E22" s="11">
        <v>1002.0</v>
      </c>
      <c r="F22" s="11">
        <v>127.0</v>
      </c>
      <c r="G22" s="11">
        <v>0.0</v>
      </c>
      <c r="H22" s="11">
        <v>4.0</v>
      </c>
      <c r="I22" s="11">
        <v>934.0</v>
      </c>
      <c r="J22" s="11">
        <v>1002.0</v>
      </c>
      <c r="K22" s="11">
        <v>221.0</v>
      </c>
      <c r="L22" s="11">
        <v>1002.0</v>
      </c>
      <c r="M22" s="11">
        <v>0.0</v>
      </c>
      <c r="N22" s="11">
        <v>5241.0</v>
      </c>
    </row>
    <row r="23">
      <c r="A23" s="11" t="s">
        <v>597</v>
      </c>
      <c r="B23" s="15">
        <v>14.0</v>
      </c>
      <c r="C23" s="11">
        <v>1.0</v>
      </c>
      <c r="D23" s="11">
        <v>7.0</v>
      </c>
      <c r="E23" s="11">
        <v>7.0</v>
      </c>
      <c r="F23" s="11">
        <v>1.0</v>
      </c>
      <c r="G23" s="11">
        <v>0.0</v>
      </c>
      <c r="H23" s="11">
        <v>0.0</v>
      </c>
      <c r="I23" s="11">
        <v>3.0</v>
      </c>
      <c r="J23" s="11">
        <v>7.0</v>
      </c>
      <c r="K23" s="11">
        <v>0.0</v>
      </c>
      <c r="L23" s="11">
        <v>7.0</v>
      </c>
      <c r="M23" s="11">
        <v>0.0</v>
      </c>
      <c r="N23" s="11">
        <v>33.0</v>
      </c>
    </row>
    <row r="24">
      <c r="A24" s="11" t="s">
        <v>598</v>
      </c>
      <c r="B24" s="15">
        <v>14.0</v>
      </c>
      <c r="C24" s="11">
        <v>6.0</v>
      </c>
      <c r="D24" s="11">
        <v>16.0</v>
      </c>
      <c r="E24" s="11">
        <v>17.0</v>
      </c>
      <c r="F24" s="11">
        <v>5.0</v>
      </c>
      <c r="G24" s="11">
        <v>0.0</v>
      </c>
      <c r="H24" s="11">
        <v>3.0</v>
      </c>
      <c r="I24" s="11">
        <v>14.0</v>
      </c>
      <c r="J24" s="11">
        <v>17.0</v>
      </c>
      <c r="K24" s="11">
        <v>0.0</v>
      </c>
      <c r="L24" s="11">
        <v>17.0</v>
      </c>
      <c r="M24" s="11">
        <v>0.0</v>
      </c>
      <c r="N24" s="11">
        <v>95.0</v>
      </c>
    </row>
    <row r="25">
      <c r="A25" s="11" t="s">
        <v>599</v>
      </c>
      <c r="B25" s="15">
        <v>16.0</v>
      </c>
      <c r="C25" s="11">
        <v>5.0</v>
      </c>
      <c r="D25" s="11">
        <v>14.0</v>
      </c>
      <c r="E25" s="11">
        <v>15.0</v>
      </c>
      <c r="F25" s="11">
        <v>3.0</v>
      </c>
      <c r="G25" s="11">
        <v>0.0</v>
      </c>
      <c r="H25" s="11">
        <v>3.0</v>
      </c>
      <c r="I25" s="11">
        <v>8.0</v>
      </c>
      <c r="J25" s="11">
        <v>15.0</v>
      </c>
      <c r="K25" s="11">
        <v>0.0</v>
      </c>
      <c r="L25" s="11">
        <v>15.0</v>
      </c>
      <c r="M25" s="11">
        <v>0.0</v>
      </c>
      <c r="N25" s="11">
        <v>78.0</v>
      </c>
    </row>
    <row r="26">
      <c r="A26" s="11" t="s">
        <v>600</v>
      </c>
      <c r="B26" s="15">
        <v>16.0</v>
      </c>
      <c r="C26" s="11">
        <v>0.0</v>
      </c>
      <c r="D26" s="11">
        <v>14.0</v>
      </c>
      <c r="E26" s="11">
        <v>15.0</v>
      </c>
      <c r="F26" s="11">
        <v>4.0</v>
      </c>
      <c r="G26" s="11">
        <v>0.0</v>
      </c>
      <c r="H26" s="11">
        <v>0.0</v>
      </c>
      <c r="I26" s="11">
        <v>11.0</v>
      </c>
      <c r="J26" s="11">
        <v>16.0</v>
      </c>
      <c r="K26" s="11">
        <v>9.0</v>
      </c>
      <c r="L26" s="11">
        <v>16.0</v>
      </c>
      <c r="M26" s="11">
        <v>0.0</v>
      </c>
      <c r="N26" s="11">
        <v>85.0</v>
      </c>
    </row>
    <row r="27">
      <c r="A27" s="11" t="s">
        <v>601</v>
      </c>
      <c r="B27" s="15">
        <v>16.0</v>
      </c>
      <c r="C27" s="11">
        <v>2.0</v>
      </c>
      <c r="D27" s="11">
        <v>17.0</v>
      </c>
      <c r="E27" s="11">
        <v>17.0</v>
      </c>
      <c r="F27" s="11">
        <v>5.0</v>
      </c>
      <c r="G27" s="11">
        <v>0.0</v>
      </c>
      <c r="H27" s="11">
        <v>3.0</v>
      </c>
      <c r="I27" s="11">
        <v>16.0</v>
      </c>
      <c r="J27" s="11">
        <v>17.0</v>
      </c>
      <c r="K27" s="11">
        <v>0.0</v>
      </c>
      <c r="L27" s="11">
        <v>17.0</v>
      </c>
      <c r="M27" s="11">
        <v>0.0</v>
      </c>
      <c r="N27" s="11">
        <v>94.0</v>
      </c>
    </row>
    <row r="28">
      <c r="A28" s="11" t="s">
        <v>602</v>
      </c>
      <c r="B28" s="15">
        <v>16.0</v>
      </c>
      <c r="C28" s="11">
        <v>3.0</v>
      </c>
      <c r="D28" s="11">
        <v>10.0</v>
      </c>
      <c r="E28" s="11">
        <v>10.0</v>
      </c>
      <c r="F28" s="11">
        <v>5.0</v>
      </c>
      <c r="G28" s="11">
        <v>1.0</v>
      </c>
      <c r="H28" s="11">
        <v>1.0</v>
      </c>
      <c r="I28" s="11">
        <v>9.0</v>
      </c>
      <c r="J28" s="11">
        <v>11.0</v>
      </c>
      <c r="K28" s="11">
        <v>2.0</v>
      </c>
      <c r="L28" s="11">
        <v>10.0</v>
      </c>
      <c r="M28" s="11">
        <v>0.0</v>
      </c>
      <c r="N28" s="11">
        <v>62.0</v>
      </c>
    </row>
    <row r="29">
      <c r="A29" s="11" t="s">
        <v>603</v>
      </c>
      <c r="B29" s="15">
        <v>16.0</v>
      </c>
      <c r="C29" s="11">
        <v>0.0</v>
      </c>
      <c r="D29" s="11">
        <v>21.0</v>
      </c>
      <c r="E29" s="11">
        <v>22.0</v>
      </c>
      <c r="F29" s="11">
        <v>3.0</v>
      </c>
      <c r="G29" s="11">
        <v>0.0</v>
      </c>
      <c r="H29" s="11">
        <v>0.0</v>
      </c>
      <c r="I29" s="11">
        <v>11.0</v>
      </c>
      <c r="J29" s="11">
        <v>22.0</v>
      </c>
      <c r="K29" s="11">
        <v>5.0</v>
      </c>
      <c r="L29" s="11">
        <v>22.0</v>
      </c>
      <c r="M29" s="11">
        <v>0.0</v>
      </c>
      <c r="N29" s="11">
        <v>106.0</v>
      </c>
    </row>
    <row r="30">
      <c r="A30" s="11" t="s">
        <v>604</v>
      </c>
      <c r="B30" s="15">
        <v>16.0</v>
      </c>
      <c r="C30" s="11">
        <v>0.0</v>
      </c>
      <c r="D30" s="11">
        <v>110.0</v>
      </c>
      <c r="E30" s="11">
        <v>111.0</v>
      </c>
      <c r="F30" s="11">
        <v>5.0</v>
      </c>
      <c r="G30" s="11">
        <v>0.0</v>
      </c>
      <c r="H30" s="11">
        <v>0.0</v>
      </c>
      <c r="I30" s="11">
        <v>90.0</v>
      </c>
      <c r="J30" s="11">
        <v>111.0</v>
      </c>
      <c r="K30" s="11">
        <v>10.0</v>
      </c>
      <c r="L30" s="11">
        <v>111.0</v>
      </c>
      <c r="M30" s="11">
        <v>0.0</v>
      </c>
      <c r="N30" s="11">
        <v>548.0</v>
      </c>
    </row>
    <row r="31">
      <c r="A31" s="11" t="s">
        <v>605</v>
      </c>
      <c r="B31" s="15">
        <v>17.0</v>
      </c>
      <c r="C31" s="11">
        <v>0.0</v>
      </c>
      <c r="D31" s="11">
        <v>11.0</v>
      </c>
      <c r="E31" s="11">
        <v>11.0</v>
      </c>
      <c r="F31" s="11">
        <v>1.0</v>
      </c>
      <c r="G31" s="11">
        <v>0.0</v>
      </c>
      <c r="H31" s="11">
        <v>1.0</v>
      </c>
      <c r="I31" s="11">
        <v>4.0</v>
      </c>
      <c r="J31" s="11">
        <v>11.0</v>
      </c>
      <c r="K31" s="11">
        <v>2.0</v>
      </c>
      <c r="L31" s="11">
        <v>11.0</v>
      </c>
      <c r="M31" s="11">
        <v>0.0</v>
      </c>
      <c r="N31" s="11">
        <v>52.0</v>
      </c>
    </row>
    <row r="32">
      <c r="A32" s="11" t="s">
        <v>606</v>
      </c>
      <c r="B32" s="15">
        <v>18.0</v>
      </c>
      <c r="C32" s="11">
        <v>1.0</v>
      </c>
      <c r="D32" s="11">
        <v>3.0</v>
      </c>
      <c r="E32" s="11">
        <v>5.0</v>
      </c>
      <c r="F32" s="11">
        <v>3.0</v>
      </c>
      <c r="G32" s="11">
        <v>0.0</v>
      </c>
      <c r="H32" s="11">
        <v>0.0</v>
      </c>
      <c r="I32" s="11">
        <v>4.0</v>
      </c>
      <c r="J32" s="11">
        <v>5.0</v>
      </c>
      <c r="K32" s="11">
        <v>0.0</v>
      </c>
      <c r="L32" s="11">
        <v>5.0</v>
      </c>
      <c r="M32" s="11">
        <v>0.0</v>
      </c>
      <c r="N32" s="11">
        <v>26.0</v>
      </c>
    </row>
    <row r="33">
      <c r="A33" s="11" t="s">
        <v>607</v>
      </c>
      <c r="B33" s="15">
        <v>18.0</v>
      </c>
      <c r="C33" s="11">
        <v>0.0</v>
      </c>
      <c r="D33" s="11">
        <v>17.0</v>
      </c>
      <c r="E33" s="11">
        <v>18.0</v>
      </c>
      <c r="F33" s="11">
        <v>1.0</v>
      </c>
      <c r="G33" s="11">
        <v>0.0</v>
      </c>
      <c r="H33" s="11">
        <v>1.0</v>
      </c>
      <c r="I33" s="11">
        <v>15.0</v>
      </c>
      <c r="J33" s="11">
        <v>18.0</v>
      </c>
      <c r="K33" s="11">
        <v>10.0</v>
      </c>
      <c r="L33" s="11">
        <v>18.0</v>
      </c>
      <c r="M33" s="11">
        <v>0.0</v>
      </c>
      <c r="N33" s="11">
        <v>98.0</v>
      </c>
    </row>
    <row r="34">
      <c r="A34" s="11" t="s">
        <v>608</v>
      </c>
      <c r="B34" s="15">
        <v>19.0</v>
      </c>
      <c r="C34" s="11">
        <v>2.0</v>
      </c>
      <c r="D34" s="11">
        <v>45.0</v>
      </c>
      <c r="E34" s="11">
        <v>46.0</v>
      </c>
      <c r="F34" s="11">
        <v>11.0</v>
      </c>
      <c r="G34" s="11">
        <v>0.0</v>
      </c>
      <c r="H34" s="11">
        <v>0.0</v>
      </c>
      <c r="I34" s="11">
        <v>42.0</v>
      </c>
      <c r="J34" s="11">
        <v>46.0</v>
      </c>
      <c r="K34" s="11">
        <v>0.0</v>
      </c>
      <c r="L34" s="11">
        <v>46.0</v>
      </c>
      <c r="M34" s="11">
        <v>0.0</v>
      </c>
      <c r="N34" s="11">
        <v>238.0</v>
      </c>
    </row>
    <row r="35">
      <c r="A35" s="11" t="s">
        <v>609</v>
      </c>
      <c r="B35" s="15">
        <v>20.0</v>
      </c>
      <c r="C35" s="11">
        <v>7.0</v>
      </c>
      <c r="D35" s="11">
        <v>8.0</v>
      </c>
      <c r="E35" s="11">
        <v>9.0</v>
      </c>
      <c r="F35" s="11">
        <v>5.0</v>
      </c>
      <c r="G35" s="11">
        <v>0.0</v>
      </c>
      <c r="H35" s="11">
        <v>3.0</v>
      </c>
      <c r="I35" s="11">
        <v>8.0</v>
      </c>
      <c r="J35" s="11">
        <v>7.0</v>
      </c>
      <c r="K35" s="11">
        <v>0.0</v>
      </c>
      <c r="L35" s="11">
        <v>9.0</v>
      </c>
      <c r="M35" s="11">
        <v>0.0</v>
      </c>
      <c r="N35" s="11">
        <v>56.0</v>
      </c>
    </row>
    <row r="36">
      <c r="A36" s="11" t="s">
        <v>610</v>
      </c>
      <c r="B36" s="15">
        <v>20.0</v>
      </c>
      <c r="C36" s="11">
        <v>0.0</v>
      </c>
      <c r="D36" s="11">
        <v>7.0</v>
      </c>
      <c r="E36" s="11">
        <v>7.0</v>
      </c>
      <c r="F36" s="11">
        <v>0.0</v>
      </c>
      <c r="G36" s="11">
        <v>0.0</v>
      </c>
      <c r="H36" s="11">
        <v>0.0</v>
      </c>
      <c r="I36" s="11">
        <v>3.0</v>
      </c>
      <c r="J36" s="11">
        <v>7.0</v>
      </c>
      <c r="K36" s="11">
        <v>0.0</v>
      </c>
      <c r="L36" s="11">
        <v>7.0</v>
      </c>
      <c r="M36" s="11">
        <v>0.0</v>
      </c>
      <c r="N36" s="11">
        <v>31.0</v>
      </c>
    </row>
    <row r="37">
      <c r="A37" s="11" t="s">
        <v>611</v>
      </c>
      <c r="B37" s="15">
        <v>21.0</v>
      </c>
      <c r="C37" s="11">
        <v>0.0</v>
      </c>
      <c r="D37" s="11">
        <v>10.0</v>
      </c>
      <c r="E37" s="11">
        <v>10.0</v>
      </c>
      <c r="F37" s="11">
        <v>0.0</v>
      </c>
      <c r="G37" s="11">
        <v>0.0</v>
      </c>
      <c r="H37" s="11">
        <v>0.0</v>
      </c>
      <c r="I37" s="11">
        <v>4.0</v>
      </c>
      <c r="J37" s="11">
        <v>10.0</v>
      </c>
      <c r="K37" s="11">
        <v>0.0</v>
      </c>
      <c r="L37" s="11">
        <v>10.0</v>
      </c>
      <c r="M37" s="11">
        <v>0.0</v>
      </c>
      <c r="N37" s="11">
        <v>44.0</v>
      </c>
    </row>
    <row r="38">
      <c r="A38" s="11" t="s">
        <v>612</v>
      </c>
      <c r="B38" s="15">
        <v>21.0</v>
      </c>
      <c r="C38" s="11">
        <v>1.0</v>
      </c>
      <c r="D38" s="11">
        <v>11.0</v>
      </c>
      <c r="E38" s="11">
        <v>12.0</v>
      </c>
      <c r="F38" s="11">
        <v>2.0</v>
      </c>
      <c r="G38" s="11">
        <v>0.0</v>
      </c>
      <c r="H38" s="11">
        <v>1.0</v>
      </c>
      <c r="I38" s="11">
        <v>7.0</v>
      </c>
      <c r="J38" s="11">
        <v>11.0</v>
      </c>
      <c r="K38" s="11">
        <v>1.0</v>
      </c>
      <c r="L38" s="11">
        <v>12.0</v>
      </c>
      <c r="M38" s="11">
        <v>0.0</v>
      </c>
      <c r="N38" s="11">
        <v>58.0</v>
      </c>
    </row>
    <row r="39">
      <c r="A39" s="11" t="s">
        <v>613</v>
      </c>
      <c r="B39" s="15">
        <v>22.0</v>
      </c>
      <c r="C39" s="11">
        <v>2.0</v>
      </c>
      <c r="D39" s="11">
        <v>4.0</v>
      </c>
      <c r="E39" s="11">
        <v>4.0</v>
      </c>
      <c r="F39" s="11">
        <v>1.0</v>
      </c>
      <c r="G39" s="11">
        <v>1.0</v>
      </c>
      <c r="H39" s="11">
        <v>1.0</v>
      </c>
      <c r="I39" s="11">
        <v>1.0</v>
      </c>
      <c r="J39" s="11">
        <v>4.0</v>
      </c>
      <c r="K39" s="11">
        <v>0.0</v>
      </c>
      <c r="L39" s="11">
        <v>4.0</v>
      </c>
      <c r="M39" s="11">
        <v>0.0</v>
      </c>
      <c r="N39" s="11">
        <v>22.0</v>
      </c>
    </row>
    <row r="40">
      <c r="A40" s="11" t="s">
        <v>614</v>
      </c>
      <c r="B40" s="15">
        <v>22.0</v>
      </c>
      <c r="C40" s="11">
        <v>0.0</v>
      </c>
      <c r="D40" s="11">
        <v>86.0</v>
      </c>
      <c r="E40" s="11">
        <v>86.0</v>
      </c>
      <c r="F40" s="11">
        <v>1.0</v>
      </c>
      <c r="G40" s="11">
        <v>0.0</v>
      </c>
      <c r="H40" s="11">
        <v>0.0</v>
      </c>
      <c r="I40" s="11">
        <v>66.0</v>
      </c>
      <c r="J40" s="11">
        <v>86.0</v>
      </c>
      <c r="K40" s="11">
        <v>15.0</v>
      </c>
      <c r="L40" s="11">
        <v>86.0</v>
      </c>
      <c r="M40" s="11">
        <v>0.0</v>
      </c>
      <c r="N40" s="11">
        <v>426.0</v>
      </c>
    </row>
    <row r="41">
      <c r="A41" s="11" t="s">
        <v>615</v>
      </c>
      <c r="B41" s="15">
        <v>24.0</v>
      </c>
      <c r="C41" s="11">
        <v>1.0</v>
      </c>
      <c r="D41" s="11">
        <v>7.0</v>
      </c>
      <c r="E41" s="11">
        <v>9.0</v>
      </c>
      <c r="F41" s="11">
        <v>3.0</v>
      </c>
      <c r="G41" s="11">
        <v>0.0</v>
      </c>
      <c r="H41" s="11">
        <v>0.0</v>
      </c>
      <c r="I41" s="11">
        <v>6.0</v>
      </c>
      <c r="J41" s="11">
        <v>9.0</v>
      </c>
      <c r="K41" s="11">
        <v>2.0</v>
      </c>
      <c r="L41" s="11">
        <v>8.0</v>
      </c>
      <c r="M41" s="11">
        <v>0.0</v>
      </c>
      <c r="N41" s="11">
        <v>45.0</v>
      </c>
    </row>
    <row r="42">
      <c r="A42" s="11" t="s">
        <v>616</v>
      </c>
      <c r="B42" s="15">
        <v>24.0</v>
      </c>
      <c r="C42" s="11">
        <v>3.0</v>
      </c>
      <c r="D42" s="11">
        <v>11.0</v>
      </c>
      <c r="E42" s="11">
        <v>12.0</v>
      </c>
      <c r="F42" s="11">
        <v>5.0</v>
      </c>
      <c r="G42" s="11">
        <v>1.0</v>
      </c>
      <c r="H42" s="11">
        <v>2.0</v>
      </c>
      <c r="I42" s="11">
        <v>7.0</v>
      </c>
      <c r="J42" s="11">
        <v>13.0</v>
      </c>
      <c r="K42" s="11">
        <v>0.0</v>
      </c>
      <c r="L42" s="11">
        <v>13.0</v>
      </c>
      <c r="M42" s="11">
        <v>0.0</v>
      </c>
      <c r="N42" s="11">
        <v>67.0</v>
      </c>
    </row>
    <row r="43">
      <c r="A43" s="11" t="s">
        <v>617</v>
      </c>
      <c r="B43" s="15">
        <v>25.0</v>
      </c>
      <c r="C43" s="11">
        <v>4.0</v>
      </c>
      <c r="D43" s="11">
        <v>31.0</v>
      </c>
      <c r="E43" s="11">
        <v>33.0</v>
      </c>
      <c r="F43" s="11">
        <v>7.0</v>
      </c>
      <c r="G43" s="11">
        <v>0.0</v>
      </c>
      <c r="H43" s="11">
        <v>4.0</v>
      </c>
      <c r="I43" s="11">
        <v>24.0</v>
      </c>
      <c r="J43" s="11">
        <v>32.0</v>
      </c>
      <c r="K43" s="11">
        <v>2.0</v>
      </c>
      <c r="L43" s="11">
        <v>33.0</v>
      </c>
      <c r="M43" s="11">
        <v>0.0</v>
      </c>
      <c r="N43" s="11">
        <v>170.0</v>
      </c>
    </row>
    <row r="44">
      <c r="A44" s="11" t="s">
        <v>618</v>
      </c>
      <c r="B44" s="15">
        <v>26.0</v>
      </c>
      <c r="C44" s="11">
        <v>0.0</v>
      </c>
      <c r="D44" s="11">
        <v>4.0</v>
      </c>
      <c r="E44" s="11">
        <v>4.0</v>
      </c>
      <c r="F44" s="11">
        <v>0.0</v>
      </c>
      <c r="G44" s="11">
        <v>1.0</v>
      </c>
      <c r="H44" s="11">
        <v>1.0</v>
      </c>
      <c r="I44" s="11">
        <v>2.0</v>
      </c>
      <c r="J44" s="11">
        <v>4.0</v>
      </c>
      <c r="K44" s="11">
        <v>1.0</v>
      </c>
      <c r="L44" s="11">
        <v>4.0</v>
      </c>
      <c r="M44" s="11">
        <v>0.0</v>
      </c>
      <c r="N44" s="11">
        <v>21.0</v>
      </c>
    </row>
    <row r="45">
      <c r="A45" s="11" t="s">
        <v>619</v>
      </c>
      <c r="B45" s="15">
        <v>27.0</v>
      </c>
      <c r="C45" s="11">
        <v>0.0</v>
      </c>
      <c r="D45" s="11">
        <v>3.0</v>
      </c>
      <c r="E45" s="11">
        <v>4.0</v>
      </c>
      <c r="F45" s="11">
        <v>3.0</v>
      </c>
      <c r="G45" s="11">
        <v>1.0</v>
      </c>
      <c r="H45" s="11">
        <v>1.0</v>
      </c>
      <c r="I45" s="11">
        <v>4.0</v>
      </c>
      <c r="J45" s="11">
        <v>5.0</v>
      </c>
      <c r="K45" s="11">
        <v>2.0</v>
      </c>
      <c r="L45" s="11">
        <v>5.0</v>
      </c>
      <c r="M45" s="11">
        <v>0.0</v>
      </c>
      <c r="N45" s="11">
        <v>28.0</v>
      </c>
    </row>
    <row r="46">
      <c r="A46" s="11" t="s">
        <v>620</v>
      </c>
      <c r="B46" s="15">
        <v>27.0</v>
      </c>
      <c r="C46" s="11">
        <v>1.0</v>
      </c>
      <c r="D46" s="11">
        <v>27.0</v>
      </c>
      <c r="E46" s="11">
        <v>24.0</v>
      </c>
      <c r="F46" s="11">
        <v>2.0</v>
      </c>
      <c r="G46" s="11">
        <v>0.0</v>
      </c>
      <c r="H46" s="11">
        <v>0.0</v>
      </c>
      <c r="I46" s="11">
        <v>27.0</v>
      </c>
      <c r="J46" s="11">
        <v>27.0</v>
      </c>
      <c r="K46" s="11">
        <v>0.0</v>
      </c>
      <c r="L46" s="11">
        <v>27.0</v>
      </c>
      <c r="M46" s="11">
        <v>0.0</v>
      </c>
      <c r="N46" s="11">
        <v>135.0</v>
      </c>
    </row>
    <row r="47">
      <c r="A47" s="11" t="s">
        <v>621</v>
      </c>
      <c r="B47" s="15">
        <v>27.0</v>
      </c>
      <c r="C47" s="11">
        <v>1.0</v>
      </c>
      <c r="D47" s="11">
        <v>31.0</v>
      </c>
      <c r="E47" s="11">
        <v>31.0</v>
      </c>
      <c r="F47" s="11">
        <v>7.0</v>
      </c>
      <c r="G47" s="11">
        <v>0.0</v>
      </c>
      <c r="H47" s="11">
        <v>0.0</v>
      </c>
      <c r="I47" s="11">
        <v>30.0</v>
      </c>
      <c r="J47" s="11">
        <v>31.0</v>
      </c>
      <c r="K47" s="11">
        <v>0.0</v>
      </c>
      <c r="L47" s="11">
        <v>31.0</v>
      </c>
      <c r="M47" s="11">
        <v>0.0</v>
      </c>
      <c r="N47" s="11">
        <v>162.0</v>
      </c>
    </row>
    <row r="48">
      <c r="A48" s="11" t="s">
        <v>622</v>
      </c>
      <c r="B48" s="15">
        <v>27.0</v>
      </c>
      <c r="C48" s="11">
        <v>1.0</v>
      </c>
      <c r="D48" s="11">
        <v>49.0</v>
      </c>
      <c r="E48" s="11">
        <v>50.0</v>
      </c>
      <c r="F48" s="11">
        <v>8.0</v>
      </c>
      <c r="G48" s="11">
        <v>0.0</v>
      </c>
      <c r="H48" s="11">
        <v>0.0</v>
      </c>
      <c r="I48" s="11">
        <v>43.0</v>
      </c>
      <c r="J48" s="11">
        <v>50.0</v>
      </c>
      <c r="K48" s="11">
        <v>8.0</v>
      </c>
      <c r="L48" s="11">
        <v>50.0</v>
      </c>
      <c r="M48" s="11">
        <v>0.0</v>
      </c>
      <c r="N48" s="11">
        <v>259.0</v>
      </c>
    </row>
    <row r="49">
      <c r="A49" s="11" t="s">
        <v>623</v>
      </c>
      <c r="B49" s="15">
        <v>27.0</v>
      </c>
      <c r="C49" s="11">
        <v>2.0</v>
      </c>
      <c r="D49" s="11">
        <v>77.0</v>
      </c>
      <c r="E49" s="11">
        <v>77.0</v>
      </c>
      <c r="F49" s="11">
        <v>5.0</v>
      </c>
      <c r="G49" s="11">
        <v>0.0</v>
      </c>
      <c r="H49" s="11">
        <v>3.0</v>
      </c>
      <c r="I49" s="11">
        <v>50.0</v>
      </c>
      <c r="J49" s="11">
        <v>77.0</v>
      </c>
      <c r="K49" s="11">
        <v>0.0</v>
      </c>
      <c r="L49" s="11">
        <v>77.0</v>
      </c>
      <c r="M49" s="11">
        <v>0.0</v>
      </c>
      <c r="N49" s="11">
        <v>368.0</v>
      </c>
    </row>
    <row r="50">
      <c r="A50" s="11" t="s">
        <v>624</v>
      </c>
      <c r="B50" s="15">
        <v>28.0</v>
      </c>
      <c r="C50" s="11">
        <v>0.0</v>
      </c>
      <c r="D50" s="11">
        <v>6.0</v>
      </c>
      <c r="E50" s="11">
        <v>6.0</v>
      </c>
      <c r="F50" s="11">
        <v>0.0</v>
      </c>
      <c r="G50" s="11">
        <v>0.0</v>
      </c>
      <c r="H50" s="11">
        <v>0.0</v>
      </c>
      <c r="I50" s="11">
        <v>4.0</v>
      </c>
      <c r="J50" s="11">
        <v>6.0</v>
      </c>
      <c r="K50" s="11">
        <v>0.0</v>
      </c>
      <c r="L50" s="11">
        <v>6.0</v>
      </c>
      <c r="M50" s="11">
        <v>0.0</v>
      </c>
      <c r="N50" s="11">
        <v>28.0</v>
      </c>
    </row>
    <row r="51">
      <c r="A51" s="11" t="s">
        <v>625</v>
      </c>
      <c r="B51" s="15">
        <v>28.0</v>
      </c>
      <c r="C51" s="11">
        <v>0.0</v>
      </c>
      <c r="D51" s="11">
        <v>22.0</v>
      </c>
      <c r="E51" s="11">
        <v>22.0</v>
      </c>
      <c r="F51" s="11">
        <v>0.0</v>
      </c>
      <c r="G51" s="11">
        <v>0.0</v>
      </c>
      <c r="H51" s="11">
        <v>0.0</v>
      </c>
      <c r="I51" s="11">
        <v>20.0</v>
      </c>
      <c r="J51" s="11">
        <v>22.0</v>
      </c>
      <c r="K51" s="11">
        <v>0.0</v>
      </c>
      <c r="L51" s="11">
        <v>22.0</v>
      </c>
      <c r="M51" s="11">
        <v>0.0</v>
      </c>
      <c r="N51" s="11">
        <v>108.0</v>
      </c>
    </row>
    <row r="52">
      <c r="A52" s="11" t="s">
        <v>626</v>
      </c>
      <c r="B52" s="15">
        <v>29.0</v>
      </c>
      <c r="C52" s="11">
        <v>3.0</v>
      </c>
      <c r="D52" s="11">
        <v>16.0</v>
      </c>
      <c r="E52" s="11">
        <v>16.0</v>
      </c>
      <c r="F52" s="11">
        <v>4.0</v>
      </c>
      <c r="G52" s="11">
        <v>0.0</v>
      </c>
      <c r="H52" s="11">
        <v>0.0</v>
      </c>
      <c r="I52" s="11">
        <v>15.0</v>
      </c>
      <c r="J52" s="11">
        <v>16.0</v>
      </c>
      <c r="K52" s="11">
        <v>1.0</v>
      </c>
      <c r="L52" s="11">
        <v>16.0</v>
      </c>
      <c r="M52" s="11">
        <v>0.0</v>
      </c>
      <c r="N52" s="11">
        <v>87.0</v>
      </c>
    </row>
    <row r="53">
      <c r="A53" s="11" t="s">
        <v>627</v>
      </c>
      <c r="B53" s="15">
        <v>29.0</v>
      </c>
      <c r="C53" s="11">
        <v>2.0</v>
      </c>
      <c r="D53" s="11">
        <v>33.0</v>
      </c>
      <c r="E53" s="11">
        <v>33.0</v>
      </c>
      <c r="F53" s="11">
        <v>3.0</v>
      </c>
      <c r="G53" s="11">
        <v>0.0</v>
      </c>
      <c r="H53" s="11">
        <v>1.0</v>
      </c>
      <c r="I53" s="11">
        <v>22.0</v>
      </c>
      <c r="J53" s="11">
        <v>33.0</v>
      </c>
      <c r="K53" s="11">
        <v>0.0</v>
      </c>
      <c r="L53" s="11">
        <v>33.0</v>
      </c>
      <c r="M53" s="11">
        <v>0.0</v>
      </c>
      <c r="N53" s="11">
        <v>160.0</v>
      </c>
    </row>
    <row r="54">
      <c r="A54" s="11" t="s">
        <v>628</v>
      </c>
      <c r="B54" s="15">
        <v>30.0</v>
      </c>
      <c r="C54" s="11">
        <v>1.0</v>
      </c>
      <c r="D54" s="11">
        <v>16.0</v>
      </c>
      <c r="E54" s="11">
        <v>16.0</v>
      </c>
      <c r="F54" s="11">
        <v>3.0</v>
      </c>
      <c r="G54" s="11">
        <v>0.0</v>
      </c>
      <c r="H54" s="11">
        <v>2.0</v>
      </c>
      <c r="I54" s="11">
        <v>15.0</v>
      </c>
      <c r="J54" s="11">
        <v>16.0</v>
      </c>
      <c r="K54" s="11">
        <v>0.0</v>
      </c>
      <c r="L54" s="11">
        <v>16.0</v>
      </c>
      <c r="M54" s="11">
        <v>0.0</v>
      </c>
      <c r="N54" s="11">
        <v>85.0</v>
      </c>
    </row>
    <row r="55">
      <c r="A55" s="11" t="s">
        <v>629</v>
      </c>
      <c r="B55" s="15">
        <v>30.0</v>
      </c>
      <c r="C55" s="11">
        <v>3.0</v>
      </c>
      <c r="D55" s="11">
        <v>26.0</v>
      </c>
      <c r="E55" s="11">
        <v>27.0</v>
      </c>
      <c r="F55" s="11">
        <v>4.0</v>
      </c>
      <c r="G55" s="11">
        <v>0.0</v>
      </c>
      <c r="H55" s="11">
        <v>1.0</v>
      </c>
      <c r="I55" s="11">
        <v>26.0</v>
      </c>
      <c r="J55" s="11">
        <v>26.0</v>
      </c>
      <c r="K55" s="11">
        <v>1.0</v>
      </c>
      <c r="L55" s="11">
        <v>27.0</v>
      </c>
      <c r="M55" s="11">
        <v>0.0</v>
      </c>
      <c r="N55" s="11">
        <v>141.0</v>
      </c>
    </row>
    <row r="56">
      <c r="A56" s="11" t="s">
        <v>630</v>
      </c>
      <c r="B56" s="15">
        <v>31.0</v>
      </c>
      <c r="C56" s="11">
        <v>4.0</v>
      </c>
      <c r="D56" s="11">
        <v>19.0</v>
      </c>
      <c r="E56" s="11">
        <v>20.0</v>
      </c>
      <c r="F56" s="11">
        <v>6.0</v>
      </c>
      <c r="G56" s="11">
        <v>0.0</v>
      </c>
      <c r="H56" s="11">
        <v>0.0</v>
      </c>
      <c r="I56" s="11">
        <v>20.0</v>
      </c>
      <c r="J56" s="11">
        <v>20.0</v>
      </c>
      <c r="K56" s="11">
        <v>0.0</v>
      </c>
      <c r="L56" s="11">
        <v>20.0</v>
      </c>
      <c r="M56" s="11">
        <v>0.0</v>
      </c>
      <c r="N56" s="11">
        <v>109.0</v>
      </c>
    </row>
    <row r="57">
      <c r="A57" s="11" t="s">
        <v>631</v>
      </c>
      <c r="B57" s="15">
        <v>31.0</v>
      </c>
      <c r="C57" s="11">
        <v>0.0</v>
      </c>
      <c r="D57" s="11">
        <v>23.0</v>
      </c>
      <c r="E57" s="11">
        <v>24.0</v>
      </c>
      <c r="F57" s="11">
        <v>1.0</v>
      </c>
      <c r="G57" s="11">
        <v>0.0</v>
      </c>
      <c r="H57" s="11">
        <v>0.0</v>
      </c>
      <c r="I57" s="11">
        <v>20.0</v>
      </c>
      <c r="J57" s="11">
        <v>23.0</v>
      </c>
      <c r="K57" s="11">
        <v>7.0</v>
      </c>
      <c r="L57" s="11">
        <v>24.0</v>
      </c>
      <c r="M57" s="11">
        <v>0.0</v>
      </c>
      <c r="N57" s="11">
        <v>122.0</v>
      </c>
    </row>
    <row r="58">
      <c r="A58" s="11" t="s">
        <v>632</v>
      </c>
      <c r="B58" s="15">
        <v>32.0</v>
      </c>
      <c r="C58" s="11">
        <v>0.0</v>
      </c>
      <c r="D58" s="11">
        <v>4.0</v>
      </c>
      <c r="E58" s="11">
        <v>4.0</v>
      </c>
      <c r="F58" s="11">
        <v>0.0</v>
      </c>
      <c r="G58" s="11">
        <v>0.0</v>
      </c>
      <c r="H58" s="11">
        <v>0.0</v>
      </c>
      <c r="I58" s="11">
        <v>2.0</v>
      </c>
      <c r="J58" s="11">
        <v>4.0</v>
      </c>
      <c r="K58" s="11">
        <v>0.0</v>
      </c>
      <c r="L58" s="11">
        <v>4.0</v>
      </c>
      <c r="M58" s="11">
        <v>0.0</v>
      </c>
      <c r="N58" s="11">
        <v>18.0</v>
      </c>
    </row>
    <row r="59">
      <c r="A59" s="11" t="s">
        <v>633</v>
      </c>
      <c r="B59" s="15">
        <v>32.0</v>
      </c>
      <c r="C59" s="11">
        <v>8.0</v>
      </c>
      <c r="D59" s="11">
        <v>61.0</v>
      </c>
      <c r="E59" s="11">
        <v>64.0</v>
      </c>
      <c r="F59" s="11">
        <v>11.0</v>
      </c>
      <c r="G59" s="11">
        <v>0.0</v>
      </c>
      <c r="H59" s="11">
        <v>2.0</v>
      </c>
      <c r="I59" s="11">
        <v>45.0</v>
      </c>
      <c r="J59" s="11">
        <v>64.0</v>
      </c>
      <c r="K59" s="11">
        <v>2.0</v>
      </c>
      <c r="L59" s="11">
        <v>64.0</v>
      </c>
      <c r="M59" s="11">
        <v>0.0</v>
      </c>
      <c r="N59" s="11">
        <v>321.0</v>
      </c>
    </row>
    <row r="60">
      <c r="A60" s="11" t="s">
        <v>634</v>
      </c>
      <c r="B60" s="15">
        <v>33.0</v>
      </c>
      <c r="C60" s="11">
        <v>2.0</v>
      </c>
      <c r="D60" s="11">
        <v>5.0</v>
      </c>
      <c r="E60" s="11">
        <v>5.0</v>
      </c>
      <c r="F60" s="11">
        <v>2.0</v>
      </c>
      <c r="G60" s="11">
        <v>0.0</v>
      </c>
      <c r="H60" s="11">
        <v>1.0</v>
      </c>
      <c r="I60" s="11">
        <v>5.0</v>
      </c>
      <c r="J60" s="11">
        <v>5.0</v>
      </c>
      <c r="K60" s="11">
        <v>0.0</v>
      </c>
      <c r="L60" s="11">
        <v>5.0</v>
      </c>
      <c r="M60" s="11">
        <v>0.0</v>
      </c>
      <c r="N60" s="11">
        <v>30.0</v>
      </c>
    </row>
    <row r="61">
      <c r="A61" s="11" t="s">
        <v>635</v>
      </c>
      <c r="B61" s="15">
        <v>34.0</v>
      </c>
      <c r="C61" s="11">
        <v>2.0</v>
      </c>
      <c r="D61" s="11">
        <v>6.0</v>
      </c>
      <c r="E61" s="11">
        <v>8.0</v>
      </c>
      <c r="F61" s="11">
        <v>4.0</v>
      </c>
      <c r="G61" s="11">
        <v>0.0</v>
      </c>
      <c r="H61" s="11">
        <v>2.0</v>
      </c>
      <c r="I61" s="11">
        <v>6.0</v>
      </c>
      <c r="J61" s="11">
        <v>7.0</v>
      </c>
      <c r="K61" s="11">
        <v>0.0</v>
      </c>
      <c r="L61" s="11">
        <v>8.0</v>
      </c>
      <c r="M61" s="11">
        <v>0.0</v>
      </c>
      <c r="N61" s="11">
        <v>43.0</v>
      </c>
    </row>
    <row r="62">
      <c r="A62" s="11" t="s">
        <v>636</v>
      </c>
      <c r="B62" s="15">
        <v>34.0</v>
      </c>
      <c r="C62" s="11">
        <v>4.0</v>
      </c>
      <c r="D62" s="11">
        <v>16.0</v>
      </c>
      <c r="E62" s="11">
        <v>19.0</v>
      </c>
      <c r="F62" s="11">
        <v>4.0</v>
      </c>
      <c r="G62" s="11">
        <v>0.0</v>
      </c>
      <c r="H62" s="11">
        <v>4.0</v>
      </c>
      <c r="I62" s="11">
        <v>14.0</v>
      </c>
      <c r="J62" s="11">
        <v>19.0</v>
      </c>
      <c r="K62" s="11">
        <v>3.0</v>
      </c>
      <c r="L62" s="11">
        <v>19.0</v>
      </c>
      <c r="M62" s="11">
        <v>0.0</v>
      </c>
      <c r="N62" s="11">
        <v>102.0</v>
      </c>
    </row>
    <row r="63">
      <c r="A63" s="11" t="s">
        <v>637</v>
      </c>
      <c r="B63" s="15">
        <v>35.0</v>
      </c>
      <c r="C63" s="11">
        <v>3.0</v>
      </c>
      <c r="D63" s="11">
        <v>26.0</v>
      </c>
      <c r="E63" s="11">
        <v>26.0</v>
      </c>
      <c r="F63" s="11">
        <v>2.0</v>
      </c>
      <c r="G63" s="11">
        <v>0.0</v>
      </c>
      <c r="H63" s="11">
        <v>2.0</v>
      </c>
      <c r="I63" s="11">
        <v>14.0</v>
      </c>
      <c r="J63" s="11">
        <v>25.0</v>
      </c>
      <c r="K63" s="11">
        <v>0.0</v>
      </c>
      <c r="L63" s="11">
        <v>26.0</v>
      </c>
      <c r="M63" s="11">
        <v>0.0</v>
      </c>
      <c r="N63" s="11">
        <v>124.0</v>
      </c>
    </row>
    <row r="64">
      <c r="A64" s="11" t="s">
        <v>638</v>
      </c>
      <c r="B64" s="15">
        <v>35.0</v>
      </c>
      <c r="C64" s="11">
        <v>1.0</v>
      </c>
      <c r="D64" s="11">
        <v>59.0</v>
      </c>
      <c r="E64" s="11">
        <v>59.0</v>
      </c>
      <c r="F64" s="11">
        <v>5.0</v>
      </c>
      <c r="G64" s="11">
        <v>0.0</v>
      </c>
      <c r="H64" s="11">
        <v>0.0</v>
      </c>
      <c r="I64" s="11">
        <v>28.0</v>
      </c>
      <c r="J64" s="11">
        <v>59.0</v>
      </c>
      <c r="K64" s="11">
        <v>0.0</v>
      </c>
      <c r="L64" s="11">
        <v>59.0</v>
      </c>
      <c r="M64" s="11">
        <v>0.0</v>
      </c>
      <c r="N64" s="11">
        <v>270.0</v>
      </c>
    </row>
    <row r="65">
      <c r="A65" s="11" t="s">
        <v>639</v>
      </c>
      <c r="B65" s="15">
        <v>36.0</v>
      </c>
      <c r="C65" s="11">
        <v>6.0</v>
      </c>
      <c r="D65" s="11">
        <v>39.0</v>
      </c>
      <c r="E65" s="11">
        <v>41.0</v>
      </c>
      <c r="F65" s="11">
        <v>11.0</v>
      </c>
      <c r="G65" s="11">
        <v>0.0</v>
      </c>
      <c r="H65" s="11">
        <v>1.0</v>
      </c>
      <c r="I65" s="11">
        <v>39.0</v>
      </c>
      <c r="J65" s="11">
        <v>41.0</v>
      </c>
      <c r="K65" s="11">
        <v>2.0</v>
      </c>
      <c r="L65" s="11">
        <v>41.0</v>
      </c>
      <c r="M65" s="11">
        <v>0.0</v>
      </c>
      <c r="N65" s="11">
        <v>221.0</v>
      </c>
    </row>
    <row r="66">
      <c r="A66" s="11" t="s">
        <v>640</v>
      </c>
      <c r="B66" s="15">
        <v>36.0</v>
      </c>
      <c r="C66" s="11">
        <v>5.0</v>
      </c>
      <c r="D66" s="11">
        <v>51.0</v>
      </c>
      <c r="E66" s="11">
        <v>52.0</v>
      </c>
      <c r="F66" s="11">
        <v>5.0</v>
      </c>
      <c r="G66" s="11">
        <v>1.0</v>
      </c>
      <c r="H66" s="11">
        <v>3.0</v>
      </c>
      <c r="I66" s="11">
        <v>41.0</v>
      </c>
      <c r="J66" s="11">
        <v>51.0</v>
      </c>
      <c r="K66" s="11">
        <v>2.0</v>
      </c>
      <c r="L66" s="11">
        <v>52.0</v>
      </c>
      <c r="M66" s="11">
        <v>0.0</v>
      </c>
      <c r="N66" s="11">
        <v>263.0</v>
      </c>
    </row>
    <row r="67">
      <c r="A67" s="11" t="s">
        <v>641</v>
      </c>
      <c r="B67" s="15">
        <v>38.0</v>
      </c>
      <c r="C67" s="11">
        <v>0.0</v>
      </c>
      <c r="D67" s="11">
        <v>9.0</v>
      </c>
      <c r="E67" s="11">
        <v>10.0</v>
      </c>
      <c r="F67" s="11">
        <v>1.0</v>
      </c>
      <c r="G67" s="11">
        <v>0.0</v>
      </c>
      <c r="H67" s="11">
        <v>0.0</v>
      </c>
      <c r="I67" s="11">
        <v>9.0</v>
      </c>
      <c r="J67" s="11">
        <v>9.0</v>
      </c>
      <c r="K67" s="11">
        <v>6.0</v>
      </c>
      <c r="L67" s="11">
        <v>10.0</v>
      </c>
      <c r="M67" s="11">
        <v>0.0</v>
      </c>
      <c r="N67" s="11">
        <v>54.0</v>
      </c>
    </row>
    <row r="68">
      <c r="A68" s="11" t="s">
        <v>642</v>
      </c>
      <c r="B68" s="15">
        <v>39.0</v>
      </c>
      <c r="C68" s="11">
        <v>1.0</v>
      </c>
      <c r="D68" s="11">
        <v>6.0</v>
      </c>
      <c r="E68" s="11">
        <v>8.0</v>
      </c>
      <c r="F68" s="11">
        <v>5.0</v>
      </c>
      <c r="G68" s="11">
        <v>0.0</v>
      </c>
      <c r="H68" s="11">
        <v>2.0</v>
      </c>
      <c r="I68" s="11">
        <v>6.0</v>
      </c>
      <c r="J68" s="11">
        <v>8.0</v>
      </c>
      <c r="K68" s="11">
        <v>3.0</v>
      </c>
      <c r="L68" s="11">
        <v>8.0</v>
      </c>
      <c r="M68" s="11">
        <v>0.0</v>
      </c>
      <c r="N68" s="11">
        <v>47.0</v>
      </c>
    </row>
    <row r="69">
      <c r="A69" s="11" t="s">
        <v>643</v>
      </c>
      <c r="B69" s="15">
        <v>39.0</v>
      </c>
      <c r="C69" s="11">
        <v>6.0</v>
      </c>
      <c r="D69" s="11">
        <v>13.0</v>
      </c>
      <c r="E69" s="11">
        <v>13.0</v>
      </c>
      <c r="F69" s="11">
        <v>7.0</v>
      </c>
      <c r="G69" s="11">
        <v>0.0</v>
      </c>
      <c r="H69" s="11">
        <v>2.0</v>
      </c>
      <c r="I69" s="11">
        <v>10.0</v>
      </c>
      <c r="J69" s="11">
        <v>13.0</v>
      </c>
      <c r="K69" s="11">
        <v>2.0</v>
      </c>
      <c r="L69" s="11">
        <v>13.0</v>
      </c>
      <c r="M69" s="11">
        <v>0.0</v>
      </c>
      <c r="N69" s="11">
        <v>79.0</v>
      </c>
    </row>
    <row r="70">
      <c r="A70" s="11" t="s">
        <v>644</v>
      </c>
      <c r="B70" s="15">
        <v>39.0</v>
      </c>
      <c r="C70" s="11">
        <v>1.0</v>
      </c>
      <c r="D70" s="11">
        <v>13.0</v>
      </c>
      <c r="E70" s="11">
        <v>16.0</v>
      </c>
      <c r="F70" s="11">
        <v>6.0</v>
      </c>
      <c r="G70" s="11">
        <v>1.0</v>
      </c>
      <c r="H70" s="11">
        <v>0.0</v>
      </c>
      <c r="I70" s="11">
        <v>11.0</v>
      </c>
      <c r="J70" s="11">
        <v>13.0</v>
      </c>
      <c r="K70" s="11">
        <v>2.0</v>
      </c>
      <c r="L70" s="11">
        <v>17.0</v>
      </c>
      <c r="M70" s="11">
        <v>0.0</v>
      </c>
      <c r="N70" s="11">
        <v>80.0</v>
      </c>
    </row>
    <row r="71">
      <c r="A71" s="11" t="s">
        <v>645</v>
      </c>
      <c r="B71" s="15">
        <v>40.0</v>
      </c>
      <c r="C71" s="11">
        <v>2.0</v>
      </c>
      <c r="D71" s="11">
        <v>15.0</v>
      </c>
      <c r="E71" s="11">
        <v>17.0</v>
      </c>
      <c r="F71" s="11">
        <v>11.0</v>
      </c>
      <c r="G71" s="11">
        <v>0.0</v>
      </c>
      <c r="H71" s="11">
        <v>0.0</v>
      </c>
      <c r="I71" s="11">
        <v>12.0</v>
      </c>
      <c r="J71" s="11">
        <v>20.0</v>
      </c>
      <c r="K71" s="11">
        <v>5.0</v>
      </c>
      <c r="L71" s="11">
        <v>16.0</v>
      </c>
      <c r="M71" s="11">
        <v>0.0</v>
      </c>
      <c r="N71" s="11">
        <v>98.0</v>
      </c>
    </row>
    <row r="72">
      <c r="A72" s="11" t="s">
        <v>646</v>
      </c>
      <c r="B72" s="15">
        <v>41.0</v>
      </c>
      <c r="C72" s="11">
        <v>1.0</v>
      </c>
      <c r="D72" s="11">
        <v>9.0</v>
      </c>
      <c r="E72" s="11">
        <v>11.0</v>
      </c>
      <c r="F72" s="11">
        <v>3.0</v>
      </c>
      <c r="G72" s="11">
        <v>0.0</v>
      </c>
      <c r="H72" s="11">
        <v>1.0</v>
      </c>
      <c r="I72" s="11">
        <v>10.0</v>
      </c>
      <c r="J72" s="11">
        <v>11.0</v>
      </c>
      <c r="K72" s="11">
        <v>3.0</v>
      </c>
      <c r="L72" s="11">
        <v>11.0</v>
      </c>
      <c r="M72" s="11">
        <v>0.0</v>
      </c>
      <c r="N72" s="11">
        <v>60.0</v>
      </c>
    </row>
    <row r="73">
      <c r="A73" s="11" t="s">
        <v>647</v>
      </c>
      <c r="B73" s="15">
        <v>42.0</v>
      </c>
      <c r="C73" s="11">
        <v>0.0</v>
      </c>
      <c r="D73" s="11">
        <v>4.0</v>
      </c>
      <c r="E73" s="11">
        <v>6.0</v>
      </c>
      <c r="F73" s="11">
        <v>3.0</v>
      </c>
      <c r="G73" s="11">
        <v>0.0</v>
      </c>
      <c r="H73" s="11">
        <v>1.0</v>
      </c>
      <c r="I73" s="11">
        <v>4.0</v>
      </c>
      <c r="J73" s="11">
        <v>5.0</v>
      </c>
      <c r="K73" s="11">
        <v>4.0</v>
      </c>
      <c r="L73" s="11">
        <v>6.0</v>
      </c>
      <c r="M73" s="11">
        <v>0.0</v>
      </c>
      <c r="N73" s="11">
        <v>33.0</v>
      </c>
    </row>
    <row r="74">
      <c r="A74" s="11" t="s">
        <v>648</v>
      </c>
      <c r="B74" s="15">
        <v>43.0</v>
      </c>
      <c r="C74" s="11">
        <v>1.0</v>
      </c>
      <c r="D74" s="11">
        <v>4.0</v>
      </c>
      <c r="E74" s="11">
        <v>6.0</v>
      </c>
      <c r="F74" s="11">
        <v>2.0</v>
      </c>
      <c r="G74" s="11">
        <v>0.0</v>
      </c>
      <c r="H74" s="11">
        <v>0.0</v>
      </c>
      <c r="I74" s="11">
        <v>3.0</v>
      </c>
      <c r="J74" s="11">
        <v>5.0</v>
      </c>
      <c r="K74" s="11">
        <v>2.0</v>
      </c>
      <c r="L74" s="11">
        <v>6.0</v>
      </c>
      <c r="M74" s="11">
        <v>0.0</v>
      </c>
      <c r="N74" s="11">
        <v>29.0</v>
      </c>
    </row>
    <row r="75">
      <c r="A75" s="11" t="s">
        <v>649</v>
      </c>
      <c r="B75" s="15">
        <v>43.0</v>
      </c>
      <c r="C75" s="11">
        <v>3.0</v>
      </c>
      <c r="D75" s="11">
        <v>28.0</v>
      </c>
      <c r="E75" s="11">
        <v>28.0</v>
      </c>
      <c r="F75" s="11">
        <v>8.0</v>
      </c>
      <c r="G75" s="11">
        <v>1.0</v>
      </c>
      <c r="H75" s="11">
        <v>2.0</v>
      </c>
      <c r="I75" s="11">
        <v>23.0</v>
      </c>
      <c r="J75" s="11">
        <v>28.0</v>
      </c>
      <c r="K75" s="11">
        <v>1.0</v>
      </c>
      <c r="L75" s="11">
        <v>28.0</v>
      </c>
      <c r="M75" s="11">
        <v>0.0</v>
      </c>
      <c r="N75" s="11">
        <v>150.0</v>
      </c>
    </row>
    <row r="76">
      <c r="A76" s="11" t="s">
        <v>650</v>
      </c>
      <c r="B76" s="15">
        <v>45.0</v>
      </c>
      <c r="C76" s="11">
        <v>5.0</v>
      </c>
      <c r="D76" s="11">
        <v>22.0</v>
      </c>
      <c r="E76" s="11">
        <v>23.0</v>
      </c>
      <c r="F76" s="11">
        <v>5.0</v>
      </c>
      <c r="G76" s="11">
        <v>0.0</v>
      </c>
      <c r="H76" s="11">
        <v>5.0</v>
      </c>
      <c r="I76" s="11">
        <v>15.0</v>
      </c>
      <c r="J76" s="11">
        <v>23.0</v>
      </c>
      <c r="K76" s="11">
        <v>3.0</v>
      </c>
      <c r="L76" s="11">
        <v>23.0</v>
      </c>
      <c r="M76" s="11">
        <v>0.0</v>
      </c>
      <c r="N76" s="11">
        <v>124.0</v>
      </c>
    </row>
    <row r="77">
      <c r="A77" s="11" t="s">
        <v>651</v>
      </c>
      <c r="B77" s="15">
        <v>46.0</v>
      </c>
      <c r="C77" s="11">
        <v>0.0</v>
      </c>
      <c r="D77" s="11">
        <v>3.0</v>
      </c>
      <c r="E77" s="11">
        <v>4.0</v>
      </c>
      <c r="F77" s="11">
        <v>4.0</v>
      </c>
      <c r="G77" s="11">
        <v>0.0</v>
      </c>
      <c r="H77" s="11">
        <v>0.0</v>
      </c>
      <c r="I77" s="11">
        <v>1.0</v>
      </c>
      <c r="J77" s="11">
        <v>3.0</v>
      </c>
      <c r="K77" s="11">
        <v>1.0</v>
      </c>
      <c r="L77" s="11">
        <v>4.0</v>
      </c>
      <c r="M77" s="11">
        <v>0.0</v>
      </c>
      <c r="N77" s="11">
        <v>20.0</v>
      </c>
    </row>
    <row r="78">
      <c r="A78" s="11" t="s">
        <v>652</v>
      </c>
      <c r="B78" s="15">
        <v>46.0</v>
      </c>
      <c r="C78" s="11">
        <v>0.0</v>
      </c>
      <c r="D78" s="11">
        <v>17.0</v>
      </c>
      <c r="E78" s="11">
        <v>18.0</v>
      </c>
      <c r="F78" s="11">
        <v>2.0</v>
      </c>
      <c r="G78" s="11">
        <v>0.0</v>
      </c>
      <c r="H78" s="11">
        <v>0.0</v>
      </c>
      <c r="I78" s="11">
        <v>16.0</v>
      </c>
      <c r="J78" s="11">
        <v>16.0</v>
      </c>
      <c r="K78" s="11">
        <v>1.0</v>
      </c>
      <c r="L78" s="11">
        <v>18.0</v>
      </c>
      <c r="M78" s="11">
        <v>0.0</v>
      </c>
      <c r="N78" s="11">
        <v>88.0</v>
      </c>
    </row>
    <row r="79">
      <c r="A79" s="11" t="s">
        <v>653</v>
      </c>
      <c r="B79" s="15">
        <v>47.0</v>
      </c>
      <c r="C79" s="11">
        <v>5.0</v>
      </c>
      <c r="D79" s="11">
        <v>19.0</v>
      </c>
      <c r="E79" s="11">
        <v>24.0</v>
      </c>
      <c r="F79" s="11">
        <v>11.0</v>
      </c>
      <c r="G79" s="11">
        <v>1.0</v>
      </c>
      <c r="H79" s="11">
        <v>2.0</v>
      </c>
      <c r="I79" s="11">
        <v>15.0</v>
      </c>
      <c r="J79" s="11">
        <v>21.0</v>
      </c>
      <c r="K79" s="11">
        <v>3.0</v>
      </c>
      <c r="L79" s="11">
        <v>21.0</v>
      </c>
      <c r="M79" s="11">
        <v>0.0</v>
      </c>
      <c r="N79" s="11">
        <v>122.0</v>
      </c>
    </row>
    <row r="80">
      <c r="A80" s="11" t="s">
        <v>654</v>
      </c>
      <c r="B80" s="15">
        <v>47.0</v>
      </c>
      <c r="C80" s="11">
        <v>6.0</v>
      </c>
      <c r="D80" s="11">
        <v>25.0</v>
      </c>
      <c r="E80" s="11">
        <v>28.0</v>
      </c>
      <c r="F80" s="11">
        <v>9.0</v>
      </c>
      <c r="G80" s="11">
        <v>0.0</v>
      </c>
      <c r="H80" s="11">
        <v>4.0</v>
      </c>
      <c r="I80" s="11">
        <v>15.0</v>
      </c>
      <c r="J80" s="11">
        <v>28.0</v>
      </c>
      <c r="K80" s="11">
        <v>4.0</v>
      </c>
      <c r="L80" s="11">
        <v>28.0</v>
      </c>
      <c r="M80" s="11">
        <v>0.0</v>
      </c>
      <c r="N80" s="11">
        <v>147.0</v>
      </c>
    </row>
    <row r="81">
      <c r="A81" s="11" t="s">
        <v>655</v>
      </c>
      <c r="B81" s="15">
        <v>48.0</v>
      </c>
      <c r="C81" s="11">
        <v>9.0</v>
      </c>
      <c r="D81" s="11">
        <v>16.0</v>
      </c>
      <c r="E81" s="11">
        <v>16.0</v>
      </c>
      <c r="F81" s="11">
        <v>12.0</v>
      </c>
      <c r="G81" s="11">
        <v>0.0</v>
      </c>
      <c r="H81" s="11">
        <v>2.0</v>
      </c>
      <c r="I81" s="11">
        <v>15.0</v>
      </c>
      <c r="J81" s="11">
        <v>16.0</v>
      </c>
      <c r="K81" s="11">
        <v>0.0</v>
      </c>
      <c r="L81" s="11">
        <v>16.0</v>
      </c>
      <c r="M81" s="11">
        <v>0.0</v>
      </c>
      <c r="N81" s="11">
        <v>102.0</v>
      </c>
    </row>
    <row r="82">
      <c r="A82" s="11" t="s">
        <v>656</v>
      </c>
      <c r="B82" s="15">
        <v>49.0</v>
      </c>
      <c r="C82" s="11">
        <v>2.0</v>
      </c>
      <c r="D82" s="11">
        <v>15.0</v>
      </c>
      <c r="E82" s="11">
        <v>17.0</v>
      </c>
      <c r="F82" s="11">
        <v>4.0</v>
      </c>
      <c r="G82" s="11">
        <v>0.0</v>
      </c>
      <c r="H82" s="11">
        <v>0.0</v>
      </c>
      <c r="I82" s="11">
        <v>16.0</v>
      </c>
      <c r="J82" s="11">
        <v>16.0</v>
      </c>
      <c r="K82" s="11">
        <v>5.0</v>
      </c>
      <c r="L82" s="11">
        <v>18.0</v>
      </c>
      <c r="M82" s="11">
        <v>0.0</v>
      </c>
      <c r="N82" s="11">
        <v>93.0</v>
      </c>
    </row>
    <row r="83">
      <c r="A83" s="16"/>
      <c r="B83" s="17"/>
      <c r="C83" s="18">
        <f t="shared" ref="C83:L83" si="1">COUNTIF(C2:C82,"&gt;0")</f>
        <v>53</v>
      </c>
      <c r="D83" s="18">
        <f t="shared" si="1"/>
        <v>81</v>
      </c>
      <c r="E83" s="18">
        <f t="shared" si="1"/>
        <v>81</v>
      </c>
      <c r="F83" s="18">
        <f t="shared" si="1"/>
        <v>69</v>
      </c>
      <c r="G83" s="18">
        <f t="shared" si="1"/>
        <v>11</v>
      </c>
      <c r="H83" s="18">
        <f t="shared" si="1"/>
        <v>46</v>
      </c>
      <c r="I83" s="18">
        <f t="shared" si="1"/>
        <v>80</v>
      </c>
      <c r="J83" s="18">
        <f t="shared" si="1"/>
        <v>81</v>
      </c>
      <c r="K83" s="18">
        <f t="shared" si="1"/>
        <v>44</v>
      </c>
      <c r="L83" s="18">
        <f t="shared" si="1"/>
        <v>81</v>
      </c>
      <c r="M83" s="19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</row>
    <row r="84">
      <c r="A84" s="16" t="s">
        <v>657</v>
      </c>
      <c r="B84" s="17"/>
      <c r="C84" s="19">
        <f t="shared" ref="C84:M84" si="2">AVERAGE(C2:C82)</f>
        <v>1.962962963</v>
      </c>
      <c r="D84" s="19">
        <f t="shared" si="2"/>
        <v>33.5308642</v>
      </c>
      <c r="E84" s="19">
        <f t="shared" si="2"/>
        <v>35.09876543</v>
      </c>
      <c r="F84" s="19">
        <f t="shared" si="2"/>
        <v>5.12345679</v>
      </c>
      <c r="G84" s="19">
        <f t="shared" si="2"/>
        <v>0.1728395062</v>
      </c>
      <c r="H84" s="19">
        <f t="shared" si="2"/>
        <v>1.172839506</v>
      </c>
      <c r="I84" s="19">
        <f t="shared" si="2"/>
        <v>26.32098765</v>
      </c>
      <c r="J84" s="19">
        <f t="shared" si="2"/>
        <v>34.95061728</v>
      </c>
      <c r="K84" s="19">
        <f t="shared" si="2"/>
        <v>4.592592593</v>
      </c>
      <c r="L84" s="19">
        <f t="shared" si="2"/>
        <v>35.13580247</v>
      </c>
      <c r="M84" s="19">
        <f t="shared" si="2"/>
        <v>0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</row>
    <row r="85">
      <c r="A85" s="7" t="s">
        <v>658</v>
      </c>
      <c r="B85" s="7"/>
      <c r="C85" s="20">
        <f t="shared" ref="C85:L85" si="3">MIN(C2:C82)</f>
        <v>0</v>
      </c>
      <c r="D85" s="20">
        <f t="shared" si="3"/>
        <v>1</v>
      </c>
      <c r="E85" s="20">
        <f t="shared" si="3"/>
        <v>1</v>
      </c>
      <c r="F85" s="20">
        <f t="shared" si="3"/>
        <v>0</v>
      </c>
      <c r="G85" s="20">
        <f t="shared" si="3"/>
        <v>0</v>
      </c>
      <c r="H85" s="20">
        <f t="shared" si="3"/>
        <v>0</v>
      </c>
      <c r="I85" s="20">
        <f t="shared" si="3"/>
        <v>0</v>
      </c>
      <c r="J85" s="20">
        <f t="shared" si="3"/>
        <v>1</v>
      </c>
      <c r="K85" s="20">
        <f t="shared" si="3"/>
        <v>0</v>
      </c>
      <c r="L85" s="20">
        <f t="shared" si="3"/>
        <v>1</v>
      </c>
      <c r="M85" s="20" t="str">
        <f>MIN(#REF!)</f>
        <v>#REF!</v>
      </c>
      <c r="N85" s="7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>
      <c r="A86" s="7" t="s">
        <v>659</v>
      </c>
      <c r="B86" s="7"/>
      <c r="C86" s="20">
        <f t="shared" ref="C86:L86" si="4">MAX(C2:C82)</f>
        <v>9</v>
      </c>
      <c r="D86" s="20">
        <f t="shared" si="4"/>
        <v>942</v>
      </c>
      <c r="E86" s="20">
        <f t="shared" si="4"/>
        <v>1002</v>
      </c>
      <c r="F86" s="20">
        <f t="shared" si="4"/>
        <v>127</v>
      </c>
      <c r="G86" s="20">
        <f t="shared" si="4"/>
        <v>3</v>
      </c>
      <c r="H86" s="20">
        <f t="shared" si="4"/>
        <v>5</v>
      </c>
      <c r="I86" s="20">
        <f t="shared" si="4"/>
        <v>934</v>
      </c>
      <c r="J86" s="20">
        <f t="shared" si="4"/>
        <v>1002</v>
      </c>
      <c r="K86" s="20">
        <f t="shared" si="4"/>
        <v>221</v>
      </c>
      <c r="L86" s="20">
        <f t="shared" si="4"/>
        <v>1002</v>
      </c>
      <c r="M86" s="20" t="str">
        <f>MAX(#REF!)</f>
        <v>#REF!</v>
      </c>
      <c r="N86" s="7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</row>
    <row r="87">
      <c r="A87" s="16" t="s">
        <v>660</v>
      </c>
      <c r="B87" s="17"/>
      <c r="C87" s="19">
        <f t="shared" ref="C87:L87" si="5">STDEV(C2:C82)</f>
        <v>2.221736058</v>
      </c>
      <c r="D87" s="19">
        <f t="shared" si="5"/>
        <v>104.6969539</v>
      </c>
      <c r="E87" s="19">
        <f t="shared" si="5"/>
        <v>111.1094736</v>
      </c>
      <c r="F87" s="19">
        <f t="shared" si="5"/>
        <v>14.0440225</v>
      </c>
      <c r="G87" s="19">
        <f t="shared" si="5"/>
        <v>0.4947252636</v>
      </c>
      <c r="H87" s="19">
        <f t="shared" si="5"/>
        <v>1.358216878</v>
      </c>
      <c r="I87" s="19">
        <f t="shared" si="5"/>
        <v>103.2556085</v>
      </c>
      <c r="J87" s="19">
        <f t="shared" si="5"/>
        <v>111.1336921</v>
      </c>
      <c r="K87" s="19">
        <f t="shared" si="5"/>
        <v>24.51467814</v>
      </c>
      <c r="L87" s="19">
        <f t="shared" si="5"/>
        <v>111.1033025</v>
      </c>
      <c r="M87" s="19" t="str">
        <f>STDEV(#REF!)</f>
        <v>#REF!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</row>
    <row r="88">
      <c r="A88" s="7" t="s">
        <v>661</v>
      </c>
      <c r="B88" s="7"/>
      <c r="C88" s="20">
        <f t="shared" ref="C88:L88" si="6">median(C2:C82)</f>
        <v>1</v>
      </c>
      <c r="D88" s="20">
        <f t="shared" si="6"/>
        <v>15</v>
      </c>
      <c r="E88" s="20">
        <f t="shared" si="6"/>
        <v>16</v>
      </c>
      <c r="F88" s="20">
        <f t="shared" si="6"/>
        <v>3</v>
      </c>
      <c r="G88" s="20">
        <f t="shared" si="6"/>
        <v>0</v>
      </c>
      <c r="H88" s="20">
        <f t="shared" si="6"/>
        <v>1</v>
      </c>
      <c r="I88" s="20">
        <f t="shared" si="6"/>
        <v>11</v>
      </c>
      <c r="J88" s="20">
        <f t="shared" si="6"/>
        <v>16</v>
      </c>
      <c r="K88" s="20">
        <f t="shared" si="6"/>
        <v>1</v>
      </c>
      <c r="L88" s="20">
        <f t="shared" si="6"/>
        <v>16</v>
      </c>
      <c r="M88" s="20" t="str">
        <f>median(#REF!)</f>
        <v>#REF!</v>
      </c>
      <c r="N88" s="7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>
      <c r="A89" s="11"/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>
      <c r="A90" s="11"/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>
      <c r="A91" s="11"/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>
      <c r="A92" s="11" t="s">
        <v>662</v>
      </c>
      <c r="B92" s="21">
        <v>50.0</v>
      </c>
      <c r="C92" s="11">
        <v>6.0</v>
      </c>
      <c r="D92" s="11">
        <v>26.0</v>
      </c>
      <c r="E92" s="11">
        <v>26.0</v>
      </c>
      <c r="F92" s="11">
        <v>4.0</v>
      </c>
      <c r="G92" s="11">
        <v>0.0</v>
      </c>
      <c r="H92" s="11">
        <v>4.0</v>
      </c>
      <c r="I92" s="11">
        <v>18.0</v>
      </c>
      <c r="J92" s="11">
        <v>26.0</v>
      </c>
      <c r="K92" s="11">
        <v>0.0</v>
      </c>
      <c r="L92" s="11">
        <v>26.0</v>
      </c>
      <c r="M92" s="11">
        <v>0.0</v>
      </c>
      <c r="N92" s="11">
        <v>136.0</v>
      </c>
    </row>
    <row r="93">
      <c r="A93" s="11" t="s">
        <v>663</v>
      </c>
      <c r="B93" s="21">
        <v>50.0</v>
      </c>
      <c r="C93" s="11">
        <v>0.0</v>
      </c>
      <c r="D93" s="11">
        <v>69.0</v>
      </c>
      <c r="E93" s="11">
        <v>71.0</v>
      </c>
      <c r="F93" s="11">
        <v>4.0</v>
      </c>
      <c r="G93" s="11">
        <v>0.0</v>
      </c>
      <c r="H93" s="11">
        <v>2.0</v>
      </c>
      <c r="I93" s="11">
        <v>25.0</v>
      </c>
      <c r="J93" s="11">
        <v>71.0</v>
      </c>
      <c r="K93" s="11">
        <v>0.0</v>
      </c>
      <c r="L93" s="11">
        <v>71.0</v>
      </c>
      <c r="M93" s="11">
        <v>0.0</v>
      </c>
      <c r="N93" s="11">
        <v>313.0</v>
      </c>
    </row>
    <row r="94">
      <c r="A94" s="11" t="s">
        <v>664</v>
      </c>
      <c r="B94" s="21">
        <v>51.0</v>
      </c>
      <c r="C94" s="11">
        <v>3.0</v>
      </c>
      <c r="D94" s="11">
        <v>1.0</v>
      </c>
      <c r="E94" s="11">
        <v>4.0</v>
      </c>
      <c r="F94" s="11">
        <v>3.0</v>
      </c>
      <c r="G94" s="11">
        <v>0.0</v>
      </c>
      <c r="H94" s="11">
        <v>1.0</v>
      </c>
      <c r="I94" s="11">
        <v>1.0</v>
      </c>
      <c r="J94" s="11">
        <v>3.0</v>
      </c>
      <c r="K94" s="11">
        <v>1.0</v>
      </c>
      <c r="L94" s="11">
        <v>4.0</v>
      </c>
      <c r="M94" s="11">
        <v>0.0</v>
      </c>
      <c r="N94" s="11">
        <v>21.0</v>
      </c>
    </row>
    <row r="95">
      <c r="A95" s="11" t="s">
        <v>665</v>
      </c>
      <c r="B95" s="21">
        <v>51.0</v>
      </c>
      <c r="C95" s="11">
        <v>5.0</v>
      </c>
      <c r="D95" s="11">
        <v>72.0</v>
      </c>
      <c r="E95" s="11">
        <v>72.0</v>
      </c>
      <c r="F95" s="11">
        <v>6.0</v>
      </c>
      <c r="G95" s="11">
        <v>1.0</v>
      </c>
      <c r="H95" s="11">
        <v>3.0</v>
      </c>
      <c r="I95" s="11">
        <v>62.0</v>
      </c>
      <c r="J95" s="11">
        <v>72.0</v>
      </c>
      <c r="K95" s="11">
        <v>0.0</v>
      </c>
      <c r="L95" s="11">
        <v>72.0</v>
      </c>
      <c r="M95" s="11">
        <v>0.0</v>
      </c>
      <c r="N95" s="11">
        <v>365.0</v>
      </c>
    </row>
    <row r="96">
      <c r="A96" s="11" t="s">
        <v>666</v>
      </c>
      <c r="B96" s="21">
        <v>52.0</v>
      </c>
      <c r="C96" s="11">
        <v>4.0</v>
      </c>
      <c r="D96" s="11">
        <v>13.0</v>
      </c>
      <c r="E96" s="11">
        <v>14.0</v>
      </c>
      <c r="F96" s="11">
        <v>6.0</v>
      </c>
      <c r="G96" s="11">
        <v>0.0</v>
      </c>
      <c r="H96" s="11">
        <v>3.0</v>
      </c>
      <c r="I96" s="11">
        <v>11.0</v>
      </c>
      <c r="J96" s="11">
        <v>13.0</v>
      </c>
      <c r="K96" s="11">
        <v>0.0</v>
      </c>
      <c r="L96" s="11">
        <v>14.0</v>
      </c>
      <c r="M96" s="11">
        <v>0.0</v>
      </c>
      <c r="N96" s="11">
        <v>78.0</v>
      </c>
    </row>
    <row r="97">
      <c r="A97" s="11" t="s">
        <v>667</v>
      </c>
      <c r="B97" s="21">
        <v>53.0</v>
      </c>
      <c r="C97" s="11">
        <v>0.0</v>
      </c>
      <c r="D97" s="11">
        <v>38.0</v>
      </c>
      <c r="E97" s="11">
        <v>38.0</v>
      </c>
      <c r="F97" s="11">
        <v>0.0</v>
      </c>
      <c r="G97" s="11">
        <v>1.0</v>
      </c>
      <c r="H97" s="11">
        <v>0.0</v>
      </c>
      <c r="I97" s="11">
        <v>10.0</v>
      </c>
      <c r="J97" s="11">
        <v>37.0</v>
      </c>
      <c r="K97" s="11">
        <v>0.0</v>
      </c>
      <c r="L97" s="11">
        <v>38.0</v>
      </c>
      <c r="M97" s="11">
        <v>0.0</v>
      </c>
      <c r="N97" s="11">
        <v>162.0</v>
      </c>
    </row>
    <row r="98">
      <c r="A98" s="11" t="s">
        <v>668</v>
      </c>
      <c r="B98" s="21">
        <v>53.0</v>
      </c>
      <c r="C98" s="11">
        <v>5.0</v>
      </c>
      <c r="D98" s="11">
        <v>78.0</v>
      </c>
      <c r="E98" s="11">
        <v>78.0</v>
      </c>
      <c r="F98" s="11">
        <v>6.0</v>
      </c>
      <c r="G98" s="11">
        <v>0.0</v>
      </c>
      <c r="H98" s="11">
        <v>3.0</v>
      </c>
      <c r="I98" s="11">
        <v>63.0</v>
      </c>
      <c r="J98" s="11">
        <v>77.0</v>
      </c>
      <c r="K98" s="11">
        <v>7.0</v>
      </c>
      <c r="L98" s="11">
        <v>78.0</v>
      </c>
      <c r="M98" s="11">
        <v>0.0</v>
      </c>
      <c r="N98" s="11">
        <v>395.0</v>
      </c>
    </row>
    <row r="99">
      <c r="A99" s="11" t="s">
        <v>669</v>
      </c>
      <c r="B99" s="21">
        <v>55.0</v>
      </c>
      <c r="C99" s="11">
        <v>1.0</v>
      </c>
      <c r="D99" s="11">
        <v>12.0</v>
      </c>
      <c r="E99" s="11">
        <v>13.0</v>
      </c>
      <c r="F99" s="11">
        <v>2.0</v>
      </c>
      <c r="G99" s="11">
        <v>1.0</v>
      </c>
      <c r="H99" s="11">
        <v>0.0</v>
      </c>
      <c r="I99" s="11">
        <v>11.0</v>
      </c>
      <c r="J99" s="11">
        <v>11.0</v>
      </c>
      <c r="K99" s="11">
        <v>2.0</v>
      </c>
      <c r="L99" s="11">
        <v>13.0</v>
      </c>
      <c r="M99" s="11">
        <v>0.0</v>
      </c>
      <c r="N99" s="11">
        <v>66.0</v>
      </c>
    </row>
    <row r="100">
      <c r="A100" s="11" t="s">
        <v>670</v>
      </c>
      <c r="B100" s="21">
        <v>57.0</v>
      </c>
      <c r="C100" s="11">
        <v>1.0</v>
      </c>
      <c r="D100" s="11">
        <v>41.0</v>
      </c>
      <c r="E100" s="11">
        <v>42.0</v>
      </c>
      <c r="F100" s="11">
        <v>2.0</v>
      </c>
      <c r="G100" s="11">
        <v>0.0</v>
      </c>
      <c r="H100" s="11">
        <v>1.0</v>
      </c>
      <c r="I100" s="11">
        <v>26.0</v>
      </c>
      <c r="J100" s="11">
        <v>42.0</v>
      </c>
      <c r="K100" s="11">
        <v>1.0</v>
      </c>
      <c r="L100" s="11">
        <v>42.0</v>
      </c>
      <c r="M100" s="11">
        <v>0.0</v>
      </c>
      <c r="N100" s="11">
        <v>198.0</v>
      </c>
    </row>
    <row r="101">
      <c r="A101" s="11" t="s">
        <v>671</v>
      </c>
      <c r="B101" s="21">
        <v>58.0</v>
      </c>
      <c r="C101" s="11">
        <v>6.0</v>
      </c>
      <c r="D101" s="11">
        <v>12.0</v>
      </c>
      <c r="E101" s="11">
        <v>13.0</v>
      </c>
      <c r="F101" s="11">
        <v>10.0</v>
      </c>
      <c r="G101" s="11">
        <v>0.0</v>
      </c>
      <c r="H101" s="11">
        <v>3.0</v>
      </c>
      <c r="I101" s="11">
        <v>12.0</v>
      </c>
      <c r="J101" s="11">
        <v>14.0</v>
      </c>
      <c r="K101" s="11">
        <v>0.0</v>
      </c>
      <c r="L101" s="11">
        <v>13.0</v>
      </c>
      <c r="M101" s="11">
        <v>0.0</v>
      </c>
      <c r="N101" s="11">
        <v>83.0</v>
      </c>
    </row>
    <row r="102">
      <c r="A102" s="11" t="s">
        <v>672</v>
      </c>
      <c r="B102" s="21">
        <v>58.0</v>
      </c>
      <c r="C102" s="11">
        <v>0.0</v>
      </c>
      <c r="D102" s="11">
        <v>15.0</v>
      </c>
      <c r="E102" s="11">
        <v>22.0</v>
      </c>
      <c r="F102" s="11">
        <v>7.0</v>
      </c>
      <c r="G102" s="11">
        <v>2.0</v>
      </c>
      <c r="H102" s="11">
        <v>1.0</v>
      </c>
      <c r="I102" s="11">
        <v>15.0</v>
      </c>
      <c r="J102" s="11">
        <v>16.0</v>
      </c>
      <c r="K102" s="11">
        <v>11.0</v>
      </c>
      <c r="L102" s="11">
        <v>22.0</v>
      </c>
      <c r="M102" s="11">
        <v>0.0</v>
      </c>
      <c r="N102" s="11">
        <v>111.0</v>
      </c>
    </row>
    <row r="103">
      <c r="A103" s="11" t="s">
        <v>673</v>
      </c>
      <c r="B103" s="21">
        <v>58.0</v>
      </c>
      <c r="C103" s="11">
        <v>6.0</v>
      </c>
      <c r="D103" s="11">
        <v>36.0</v>
      </c>
      <c r="E103" s="11">
        <v>37.0</v>
      </c>
      <c r="F103" s="11">
        <v>10.0</v>
      </c>
      <c r="G103" s="11">
        <v>1.0</v>
      </c>
      <c r="H103" s="11">
        <v>5.0</v>
      </c>
      <c r="I103" s="11">
        <v>35.0</v>
      </c>
      <c r="J103" s="11">
        <v>36.0</v>
      </c>
      <c r="K103" s="11">
        <v>0.0</v>
      </c>
      <c r="L103" s="11">
        <v>37.0</v>
      </c>
      <c r="M103" s="11">
        <v>0.0</v>
      </c>
      <c r="N103" s="11">
        <v>203.0</v>
      </c>
    </row>
    <row r="104">
      <c r="A104" s="11" t="s">
        <v>674</v>
      </c>
      <c r="B104" s="21">
        <v>61.0</v>
      </c>
      <c r="C104" s="11">
        <v>1.0</v>
      </c>
      <c r="D104" s="11">
        <v>3.0</v>
      </c>
      <c r="E104" s="11">
        <v>1.0</v>
      </c>
      <c r="F104" s="11">
        <v>3.0</v>
      </c>
      <c r="G104" s="11">
        <v>0.0</v>
      </c>
      <c r="H104" s="11">
        <v>2.0</v>
      </c>
      <c r="I104" s="11">
        <v>1.0</v>
      </c>
      <c r="J104" s="11">
        <v>2.0</v>
      </c>
      <c r="K104" s="11">
        <v>2.0</v>
      </c>
      <c r="L104" s="11">
        <v>0.0</v>
      </c>
      <c r="M104" s="11">
        <v>0.0</v>
      </c>
      <c r="N104" s="11">
        <v>15.0</v>
      </c>
    </row>
    <row r="105">
      <c r="A105" s="11" t="s">
        <v>675</v>
      </c>
      <c r="B105" s="21">
        <v>64.0</v>
      </c>
      <c r="C105" s="11">
        <v>5.0</v>
      </c>
      <c r="D105" s="11">
        <v>15.0</v>
      </c>
      <c r="E105" s="11">
        <v>22.0</v>
      </c>
      <c r="F105" s="11">
        <v>9.0</v>
      </c>
      <c r="G105" s="11">
        <v>4.0</v>
      </c>
      <c r="H105" s="11">
        <v>1.0</v>
      </c>
      <c r="I105" s="11">
        <v>16.0</v>
      </c>
      <c r="J105" s="11">
        <v>18.0</v>
      </c>
      <c r="K105" s="11">
        <v>0.0</v>
      </c>
      <c r="L105" s="11">
        <v>22.0</v>
      </c>
      <c r="M105" s="11">
        <v>0.0</v>
      </c>
      <c r="N105" s="11">
        <v>112.0</v>
      </c>
    </row>
    <row r="106">
      <c r="A106" s="11" t="s">
        <v>676</v>
      </c>
      <c r="B106" s="21">
        <v>64.0</v>
      </c>
      <c r="C106" s="11">
        <v>14.0</v>
      </c>
      <c r="D106" s="11">
        <v>54.0</v>
      </c>
      <c r="E106" s="11">
        <v>54.0</v>
      </c>
      <c r="F106" s="11">
        <v>18.0</v>
      </c>
      <c r="G106" s="11">
        <v>0.0</v>
      </c>
      <c r="H106" s="11">
        <v>10.0</v>
      </c>
      <c r="I106" s="11">
        <v>36.0</v>
      </c>
      <c r="J106" s="11">
        <v>53.0</v>
      </c>
      <c r="K106" s="11">
        <v>0.0</v>
      </c>
      <c r="L106" s="11">
        <v>54.0</v>
      </c>
      <c r="M106" s="11">
        <v>0.0</v>
      </c>
      <c r="N106" s="11">
        <v>293.0</v>
      </c>
    </row>
    <row r="107">
      <c r="A107" s="11" t="s">
        <v>677</v>
      </c>
      <c r="B107" s="21">
        <v>67.0</v>
      </c>
      <c r="C107" s="11">
        <v>2.0</v>
      </c>
      <c r="D107" s="11">
        <v>9.0</v>
      </c>
      <c r="E107" s="11">
        <v>11.0</v>
      </c>
      <c r="F107" s="11">
        <v>2.0</v>
      </c>
      <c r="G107" s="11">
        <v>1.0</v>
      </c>
      <c r="H107" s="11">
        <v>2.0</v>
      </c>
      <c r="I107" s="11">
        <v>9.0</v>
      </c>
      <c r="J107" s="11">
        <v>10.0</v>
      </c>
      <c r="K107" s="11">
        <v>1.0</v>
      </c>
      <c r="L107" s="11">
        <v>11.0</v>
      </c>
      <c r="M107" s="11">
        <v>0.0</v>
      </c>
      <c r="N107" s="11">
        <v>58.0</v>
      </c>
    </row>
    <row r="108">
      <c r="A108" s="11" t="s">
        <v>678</v>
      </c>
      <c r="B108" s="21">
        <v>68.0</v>
      </c>
      <c r="C108" s="11">
        <v>5.0</v>
      </c>
      <c r="D108" s="11">
        <v>13.0</v>
      </c>
      <c r="E108" s="11">
        <v>15.0</v>
      </c>
      <c r="F108" s="11">
        <v>5.0</v>
      </c>
      <c r="G108" s="11">
        <v>1.0</v>
      </c>
      <c r="H108" s="11">
        <v>4.0</v>
      </c>
      <c r="I108" s="11">
        <v>9.0</v>
      </c>
      <c r="J108" s="11">
        <v>13.0</v>
      </c>
      <c r="K108" s="11">
        <v>1.0</v>
      </c>
      <c r="L108" s="11">
        <v>15.0</v>
      </c>
      <c r="M108" s="11">
        <v>0.0</v>
      </c>
      <c r="N108" s="11">
        <v>81.0</v>
      </c>
    </row>
    <row r="109">
      <c r="A109" s="11" t="s">
        <v>679</v>
      </c>
      <c r="B109" s="21">
        <v>69.0</v>
      </c>
      <c r="C109" s="11">
        <v>2.0</v>
      </c>
      <c r="D109" s="11">
        <v>40.0</v>
      </c>
      <c r="E109" s="11">
        <v>40.0</v>
      </c>
      <c r="F109" s="11">
        <v>3.0</v>
      </c>
      <c r="G109" s="11">
        <v>0.0</v>
      </c>
      <c r="H109" s="11">
        <v>0.0</v>
      </c>
      <c r="I109" s="11">
        <v>38.0</v>
      </c>
      <c r="J109" s="11">
        <v>41.0</v>
      </c>
      <c r="K109" s="11">
        <v>26.0</v>
      </c>
      <c r="L109" s="11">
        <v>44.0</v>
      </c>
      <c r="M109" s="11">
        <v>0.0</v>
      </c>
      <c r="N109" s="11">
        <v>234.0</v>
      </c>
    </row>
    <row r="110">
      <c r="A110" s="11" t="s">
        <v>680</v>
      </c>
      <c r="B110" s="21">
        <v>74.0</v>
      </c>
      <c r="C110" s="11">
        <v>13.0</v>
      </c>
      <c r="D110" s="11">
        <v>16.0</v>
      </c>
      <c r="E110" s="11">
        <v>19.0</v>
      </c>
      <c r="F110" s="11">
        <v>3.0</v>
      </c>
      <c r="G110" s="11">
        <v>0.0</v>
      </c>
      <c r="H110" s="11">
        <v>0.0</v>
      </c>
      <c r="I110" s="11">
        <v>18.0</v>
      </c>
      <c r="J110" s="11">
        <v>17.0</v>
      </c>
      <c r="K110" s="11">
        <v>1.0</v>
      </c>
      <c r="L110" s="11">
        <v>19.0</v>
      </c>
      <c r="M110" s="11">
        <v>0.0</v>
      </c>
      <c r="N110" s="11">
        <v>106.0</v>
      </c>
    </row>
    <row r="111">
      <c r="A111" s="11" t="s">
        <v>681</v>
      </c>
      <c r="B111" s="21">
        <v>75.0</v>
      </c>
      <c r="C111" s="11">
        <v>0.0</v>
      </c>
      <c r="D111" s="11">
        <v>87.0</v>
      </c>
      <c r="E111" s="11">
        <v>87.0</v>
      </c>
      <c r="F111" s="11">
        <v>0.0</v>
      </c>
      <c r="G111" s="11">
        <v>0.0</v>
      </c>
      <c r="H111" s="11">
        <v>0.0</v>
      </c>
      <c r="I111" s="11">
        <v>86.0</v>
      </c>
      <c r="J111" s="11">
        <v>87.0</v>
      </c>
      <c r="K111" s="11">
        <v>1.0</v>
      </c>
      <c r="L111" s="11">
        <v>87.0</v>
      </c>
      <c r="M111" s="11">
        <v>0.0</v>
      </c>
      <c r="N111" s="11">
        <v>435.0</v>
      </c>
    </row>
    <row r="112">
      <c r="A112" s="11" t="s">
        <v>682</v>
      </c>
      <c r="B112" s="21">
        <v>77.0</v>
      </c>
      <c r="C112" s="11">
        <v>4.0</v>
      </c>
      <c r="D112" s="11">
        <v>10.0</v>
      </c>
      <c r="E112" s="11">
        <v>13.0</v>
      </c>
      <c r="F112" s="11">
        <v>5.0</v>
      </c>
      <c r="G112" s="11">
        <v>2.0</v>
      </c>
      <c r="H112" s="11">
        <v>0.0</v>
      </c>
      <c r="I112" s="11">
        <v>12.0</v>
      </c>
      <c r="J112" s="11">
        <v>9.0</v>
      </c>
      <c r="K112" s="11">
        <v>0.0</v>
      </c>
      <c r="L112" s="11">
        <v>13.0</v>
      </c>
      <c r="M112" s="11">
        <v>0.0</v>
      </c>
      <c r="N112" s="11">
        <v>68.0</v>
      </c>
    </row>
    <row r="113">
      <c r="A113" s="11" t="s">
        <v>683</v>
      </c>
      <c r="B113" s="21">
        <v>78.0</v>
      </c>
      <c r="C113" s="11">
        <v>2.0</v>
      </c>
      <c r="D113" s="11">
        <v>25.0</v>
      </c>
      <c r="E113" s="11">
        <v>30.0</v>
      </c>
      <c r="F113" s="11">
        <v>5.0</v>
      </c>
      <c r="G113" s="11">
        <v>1.0</v>
      </c>
      <c r="H113" s="11">
        <v>0.0</v>
      </c>
      <c r="I113" s="11">
        <v>22.0</v>
      </c>
      <c r="J113" s="11">
        <v>29.0</v>
      </c>
      <c r="K113" s="11">
        <v>6.0</v>
      </c>
      <c r="L113" s="11">
        <v>28.0</v>
      </c>
      <c r="M113" s="11">
        <v>0.0</v>
      </c>
      <c r="N113" s="11">
        <v>148.0</v>
      </c>
    </row>
    <row r="114">
      <c r="A114" s="11" t="s">
        <v>684</v>
      </c>
      <c r="B114" s="21">
        <v>79.0</v>
      </c>
      <c r="C114" s="11">
        <v>14.0</v>
      </c>
      <c r="D114" s="11">
        <v>28.0</v>
      </c>
      <c r="E114" s="11">
        <v>31.0</v>
      </c>
      <c r="F114" s="11">
        <v>16.0</v>
      </c>
      <c r="G114" s="11">
        <v>1.0</v>
      </c>
      <c r="H114" s="11">
        <v>8.0</v>
      </c>
      <c r="I114" s="11">
        <v>26.0</v>
      </c>
      <c r="J114" s="11">
        <v>31.0</v>
      </c>
      <c r="K114" s="11">
        <v>3.0</v>
      </c>
      <c r="L114" s="11">
        <v>31.0</v>
      </c>
      <c r="M114" s="11">
        <v>0.0</v>
      </c>
      <c r="N114" s="11">
        <v>189.0</v>
      </c>
    </row>
    <row r="115">
      <c r="A115" s="11" t="s">
        <v>685</v>
      </c>
      <c r="B115" s="21">
        <v>80.0</v>
      </c>
      <c r="C115" s="11">
        <v>2.0</v>
      </c>
      <c r="D115" s="11">
        <v>27.0</v>
      </c>
      <c r="E115" s="11">
        <v>31.0</v>
      </c>
      <c r="F115" s="11">
        <v>6.0</v>
      </c>
      <c r="G115" s="11">
        <v>0.0</v>
      </c>
      <c r="H115" s="11">
        <v>0.0</v>
      </c>
      <c r="I115" s="11">
        <v>25.0</v>
      </c>
      <c r="J115" s="11">
        <v>30.0</v>
      </c>
      <c r="K115" s="11">
        <v>5.0</v>
      </c>
      <c r="L115" s="11">
        <v>31.0</v>
      </c>
      <c r="M115" s="11">
        <v>0.0</v>
      </c>
      <c r="N115" s="11">
        <v>157.0</v>
      </c>
    </row>
    <row r="116">
      <c r="A116" s="11" t="s">
        <v>686</v>
      </c>
      <c r="B116" s="21">
        <v>82.0</v>
      </c>
      <c r="C116" s="11">
        <v>9.0</v>
      </c>
      <c r="D116" s="11">
        <v>13.0</v>
      </c>
      <c r="E116" s="11">
        <v>16.0</v>
      </c>
      <c r="F116" s="11">
        <v>9.0</v>
      </c>
      <c r="G116" s="11">
        <v>0.0</v>
      </c>
      <c r="H116" s="11">
        <v>1.0</v>
      </c>
      <c r="I116" s="11">
        <v>16.0</v>
      </c>
      <c r="J116" s="11">
        <v>16.0</v>
      </c>
      <c r="K116" s="11">
        <v>1.0</v>
      </c>
      <c r="L116" s="11">
        <v>16.0</v>
      </c>
      <c r="M116" s="11">
        <v>0.0</v>
      </c>
      <c r="N116" s="11">
        <v>97.0</v>
      </c>
    </row>
    <row r="117">
      <c r="A117" s="11" t="s">
        <v>687</v>
      </c>
      <c r="B117" s="21">
        <v>83.0</v>
      </c>
      <c r="C117" s="11">
        <v>1.0</v>
      </c>
      <c r="D117" s="11">
        <v>26.0</v>
      </c>
      <c r="E117" s="11">
        <v>26.0</v>
      </c>
      <c r="F117" s="11">
        <v>1.0</v>
      </c>
      <c r="G117" s="11">
        <v>4.0</v>
      </c>
      <c r="H117" s="11">
        <v>0.0</v>
      </c>
      <c r="I117" s="11">
        <v>25.0</v>
      </c>
      <c r="J117" s="11">
        <v>27.0</v>
      </c>
      <c r="K117" s="11">
        <v>3.0</v>
      </c>
      <c r="L117" s="11">
        <v>26.0</v>
      </c>
      <c r="M117" s="11">
        <v>0.0</v>
      </c>
      <c r="N117" s="11">
        <v>139.0</v>
      </c>
    </row>
    <row r="118">
      <c r="A118" s="11" t="s">
        <v>688</v>
      </c>
      <c r="B118" s="21">
        <v>83.0</v>
      </c>
      <c r="C118" s="11">
        <v>4.0</v>
      </c>
      <c r="D118" s="11">
        <v>46.0</v>
      </c>
      <c r="E118" s="11">
        <v>49.0</v>
      </c>
      <c r="F118" s="11">
        <v>7.0</v>
      </c>
      <c r="G118" s="11">
        <v>1.0</v>
      </c>
      <c r="H118" s="11">
        <v>1.0</v>
      </c>
      <c r="I118" s="11">
        <v>47.0</v>
      </c>
      <c r="J118" s="11">
        <v>48.0</v>
      </c>
      <c r="K118" s="11">
        <v>2.0</v>
      </c>
      <c r="L118" s="11">
        <v>49.0</v>
      </c>
      <c r="M118" s="11">
        <v>0.0</v>
      </c>
      <c r="N118" s="11">
        <v>254.0</v>
      </c>
    </row>
    <row r="119">
      <c r="A119" s="11" t="s">
        <v>689</v>
      </c>
      <c r="B119" s="21">
        <v>84.0</v>
      </c>
      <c r="C119" s="11">
        <v>6.0</v>
      </c>
      <c r="D119" s="11">
        <v>85.0</v>
      </c>
      <c r="E119" s="11">
        <v>89.0</v>
      </c>
      <c r="F119" s="11">
        <v>9.0</v>
      </c>
      <c r="G119" s="11">
        <v>2.0</v>
      </c>
      <c r="H119" s="11">
        <v>3.0</v>
      </c>
      <c r="I119" s="11">
        <v>53.0</v>
      </c>
      <c r="J119" s="11">
        <v>89.0</v>
      </c>
      <c r="K119" s="11">
        <v>0.0</v>
      </c>
      <c r="L119" s="11">
        <v>89.0</v>
      </c>
      <c r="M119" s="11">
        <v>0.0</v>
      </c>
      <c r="N119" s="11">
        <v>425.0</v>
      </c>
    </row>
    <row r="120">
      <c r="A120" s="11" t="s">
        <v>690</v>
      </c>
      <c r="B120" s="21">
        <v>87.0</v>
      </c>
      <c r="C120" s="11">
        <v>7.0</v>
      </c>
      <c r="D120" s="11">
        <v>58.0</v>
      </c>
      <c r="E120" s="11">
        <v>58.0</v>
      </c>
      <c r="F120" s="11">
        <v>6.0</v>
      </c>
      <c r="G120" s="11">
        <v>0.0</v>
      </c>
      <c r="H120" s="11">
        <v>0.0</v>
      </c>
      <c r="I120" s="11">
        <v>49.0</v>
      </c>
      <c r="J120" s="11">
        <v>55.0</v>
      </c>
      <c r="K120" s="11">
        <v>0.0</v>
      </c>
      <c r="L120" s="11">
        <v>58.0</v>
      </c>
      <c r="M120" s="11">
        <v>0.0</v>
      </c>
      <c r="N120" s="11">
        <v>291.0</v>
      </c>
    </row>
    <row r="121">
      <c r="A121" s="11" t="s">
        <v>691</v>
      </c>
      <c r="B121" s="21">
        <v>87.0</v>
      </c>
      <c r="C121" s="11">
        <v>3.0</v>
      </c>
      <c r="D121" s="11">
        <v>72.0</v>
      </c>
      <c r="E121" s="11">
        <v>74.0</v>
      </c>
      <c r="F121" s="11">
        <v>9.0</v>
      </c>
      <c r="G121" s="11">
        <v>1.0</v>
      </c>
      <c r="H121" s="11">
        <v>2.0</v>
      </c>
      <c r="I121" s="11">
        <v>52.0</v>
      </c>
      <c r="J121" s="11">
        <v>73.0</v>
      </c>
      <c r="K121" s="11">
        <v>8.0</v>
      </c>
      <c r="L121" s="11">
        <v>74.0</v>
      </c>
      <c r="M121" s="11">
        <v>0.0</v>
      </c>
      <c r="N121" s="11">
        <v>368.0</v>
      </c>
    </row>
    <row r="122">
      <c r="A122" s="11" t="s">
        <v>692</v>
      </c>
      <c r="B122" s="21">
        <v>90.0</v>
      </c>
      <c r="C122" s="11">
        <v>7.0</v>
      </c>
      <c r="D122" s="11">
        <v>12.0</v>
      </c>
      <c r="E122" s="11">
        <v>14.0</v>
      </c>
      <c r="F122" s="11">
        <v>6.0</v>
      </c>
      <c r="G122" s="11">
        <v>4.0</v>
      </c>
      <c r="H122" s="11">
        <v>6.0</v>
      </c>
      <c r="I122" s="11">
        <v>8.0</v>
      </c>
      <c r="J122" s="11">
        <v>13.0</v>
      </c>
      <c r="K122" s="11">
        <v>1.0</v>
      </c>
      <c r="L122" s="11">
        <v>14.0</v>
      </c>
      <c r="M122" s="11">
        <v>0.0</v>
      </c>
      <c r="N122" s="11">
        <v>85.0</v>
      </c>
    </row>
    <row r="123">
      <c r="A123" s="11" t="s">
        <v>693</v>
      </c>
      <c r="B123" s="21">
        <v>92.0</v>
      </c>
      <c r="C123" s="11">
        <v>1.0</v>
      </c>
      <c r="D123" s="11">
        <v>32.0</v>
      </c>
      <c r="E123" s="11">
        <v>42.0</v>
      </c>
      <c r="F123" s="11">
        <v>6.0</v>
      </c>
      <c r="G123" s="11">
        <v>0.0</v>
      </c>
      <c r="H123" s="11">
        <v>0.0</v>
      </c>
      <c r="I123" s="11">
        <v>32.0</v>
      </c>
      <c r="J123" s="11">
        <v>43.0</v>
      </c>
      <c r="K123" s="11">
        <v>23.0</v>
      </c>
      <c r="L123" s="11">
        <v>43.0</v>
      </c>
      <c r="M123" s="11">
        <v>0.0</v>
      </c>
      <c r="N123" s="11">
        <v>222.0</v>
      </c>
    </row>
    <row r="124">
      <c r="A124" s="11" t="s">
        <v>694</v>
      </c>
      <c r="B124" s="21">
        <v>93.0</v>
      </c>
      <c r="C124" s="11">
        <v>5.0</v>
      </c>
      <c r="D124" s="11">
        <v>55.0</v>
      </c>
      <c r="E124" s="11">
        <v>53.0</v>
      </c>
      <c r="F124" s="11">
        <v>11.0</v>
      </c>
      <c r="G124" s="11">
        <v>0.0</v>
      </c>
      <c r="H124" s="11">
        <v>1.0</v>
      </c>
      <c r="I124" s="11">
        <v>51.0</v>
      </c>
      <c r="J124" s="11">
        <v>55.0</v>
      </c>
      <c r="K124" s="11">
        <v>0.0</v>
      </c>
      <c r="L124" s="11">
        <v>55.0</v>
      </c>
      <c r="M124" s="11">
        <v>0.0</v>
      </c>
      <c r="N124" s="11">
        <v>286.0</v>
      </c>
    </row>
    <row r="125">
      <c r="A125" s="11" t="s">
        <v>695</v>
      </c>
      <c r="B125" s="21">
        <v>96.0</v>
      </c>
      <c r="C125" s="11">
        <v>6.0</v>
      </c>
      <c r="D125" s="11">
        <v>11.0</v>
      </c>
      <c r="E125" s="11">
        <v>14.0</v>
      </c>
      <c r="F125" s="11">
        <v>5.0</v>
      </c>
      <c r="G125" s="11">
        <v>0.0</v>
      </c>
      <c r="H125" s="11">
        <v>4.0</v>
      </c>
      <c r="I125" s="11">
        <v>7.0</v>
      </c>
      <c r="J125" s="11">
        <v>13.0</v>
      </c>
      <c r="K125" s="11">
        <v>0.0</v>
      </c>
      <c r="L125" s="11">
        <v>14.0</v>
      </c>
      <c r="M125" s="11">
        <v>0.0</v>
      </c>
      <c r="N125" s="11">
        <v>74.0</v>
      </c>
    </row>
    <row r="126">
      <c r="A126" s="11" t="s">
        <v>696</v>
      </c>
      <c r="B126" s="21">
        <v>100.0</v>
      </c>
      <c r="C126" s="11">
        <v>2.0</v>
      </c>
      <c r="D126" s="11">
        <v>89.0</v>
      </c>
      <c r="E126" s="11">
        <v>89.0</v>
      </c>
      <c r="F126" s="11">
        <v>5.0</v>
      </c>
      <c r="G126" s="11">
        <v>0.0</v>
      </c>
      <c r="H126" s="11">
        <v>0.0</v>
      </c>
      <c r="I126" s="11">
        <v>87.0</v>
      </c>
      <c r="J126" s="11">
        <v>89.0</v>
      </c>
      <c r="K126" s="11">
        <v>0.0</v>
      </c>
      <c r="L126" s="11">
        <v>89.0</v>
      </c>
      <c r="M126" s="11">
        <v>0.0</v>
      </c>
      <c r="N126" s="11">
        <v>450.0</v>
      </c>
    </row>
    <row r="127">
      <c r="A127" s="11" t="s">
        <v>697</v>
      </c>
      <c r="B127" s="21">
        <v>100.0</v>
      </c>
      <c r="C127" s="11">
        <v>2.0</v>
      </c>
      <c r="D127" s="11">
        <v>139.0</v>
      </c>
      <c r="E127" s="11">
        <v>140.0</v>
      </c>
      <c r="F127" s="11">
        <v>3.0</v>
      </c>
      <c r="G127" s="11">
        <v>0.0</v>
      </c>
      <c r="H127" s="11">
        <v>0.0</v>
      </c>
      <c r="I127" s="11">
        <v>136.0</v>
      </c>
      <c r="J127" s="11">
        <v>139.0</v>
      </c>
      <c r="K127" s="11">
        <v>5.0</v>
      </c>
      <c r="L127" s="11">
        <v>139.0</v>
      </c>
      <c r="M127" s="11">
        <v>0.0</v>
      </c>
      <c r="N127" s="11">
        <v>703.0</v>
      </c>
    </row>
    <row r="128">
      <c r="A128" s="11" t="s">
        <v>698</v>
      </c>
      <c r="B128" s="21">
        <v>105.0</v>
      </c>
      <c r="C128" s="11">
        <v>12.0</v>
      </c>
      <c r="D128" s="11">
        <v>23.0</v>
      </c>
      <c r="E128" s="11">
        <v>23.0</v>
      </c>
      <c r="F128" s="11">
        <v>11.0</v>
      </c>
      <c r="G128" s="11">
        <v>3.0</v>
      </c>
      <c r="H128" s="11">
        <v>2.0</v>
      </c>
      <c r="I128" s="11">
        <v>23.0</v>
      </c>
      <c r="J128" s="11">
        <v>20.0</v>
      </c>
      <c r="K128" s="11">
        <v>0.0</v>
      </c>
      <c r="L128" s="11">
        <v>23.0</v>
      </c>
      <c r="M128" s="11">
        <v>0.0</v>
      </c>
      <c r="N128" s="11">
        <v>140.0</v>
      </c>
    </row>
    <row r="129">
      <c r="A129" s="11" t="s">
        <v>699</v>
      </c>
      <c r="B129" s="21">
        <v>117.0</v>
      </c>
      <c r="C129" s="11">
        <v>10.0</v>
      </c>
      <c r="D129" s="11">
        <v>35.0</v>
      </c>
      <c r="E129" s="11">
        <v>40.0</v>
      </c>
      <c r="F129" s="11">
        <v>7.0</v>
      </c>
      <c r="G129" s="11">
        <v>14.0</v>
      </c>
      <c r="H129" s="11">
        <v>0.0</v>
      </c>
      <c r="I129" s="11">
        <v>32.0</v>
      </c>
      <c r="J129" s="11">
        <v>30.0</v>
      </c>
      <c r="K129" s="11">
        <v>1.0</v>
      </c>
      <c r="L129" s="11">
        <v>40.0</v>
      </c>
      <c r="M129" s="11">
        <v>0.0</v>
      </c>
      <c r="N129" s="11">
        <v>209.0</v>
      </c>
    </row>
    <row r="130">
      <c r="A130" s="11" t="s">
        <v>700</v>
      </c>
      <c r="B130" s="21">
        <v>121.0</v>
      </c>
      <c r="C130" s="11">
        <v>4.0</v>
      </c>
      <c r="D130" s="11">
        <v>41.0</v>
      </c>
      <c r="E130" s="11">
        <v>49.0</v>
      </c>
      <c r="F130" s="11">
        <v>10.0</v>
      </c>
      <c r="G130" s="11">
        <v>4.0</v>
      </c>
      <c r="H130" s="11">
        <v>0.0</v>
      </c>
      <c r="I130" s="11">
        <v>39.0</v>
      </c>
      <c r="J130" s="11">
        <v>43.0</v>
      </c>
      <c r="K130" s="11">
        <v>1.0</v>
      </c>
      <c r="L130" s="11">
        <v>49.0</v>
      </c>
      <c r="M130" s="11">
        <v>0.0</v>
      </c>
      <c r="N130" s="11">
        <v>240.0</v>
      </c>
    </row>
    <row r="131">
      <c r="A131" s="11" t="s">
        <v>701</v>
      </c>
      <c r="B131" s="21">
        <v>121.0</v>
      </c>
      <c r="C131" s="11">
        <v>13.0</v>
      </c>
      <c r="D131" s="11">
        <v>59.0</v>
      </c>
      <c r="E131" s="11">
        <v>61.0</v>
      </c>
      <c r="F131" s="11">
        <v>12.0</v>
      </c>
      <c r="G131" s="11">
        <v>1.0</v>
      </c>
      <c r="H131" s="11">
        <v>3.0</v>
      </c>
      <c r="I131" s="11">
        <v>55.0</v>
      </c>
      <c r="J131" s="11">
        <v>59.0</v>
      </c>
      <c r="K131" s="11">
        <v>1.0</v>
      </c>
      <c r="L131" s="11">
        <v>61.0</v>
      </c>
      <c r="M131" s="11">
        <v>0.0</v>
      </c>
      <c r="N131" s="11">
        <v>325.0</v>
      </c>
    </row>
    <row r="132">
      <c r="A132" s="11" t="s">
        <v>702</v>
      </c>
      <c r="B132" s="21">
        <v>122.0</v>
      </c>
      <c r="C132" s="11">
        <v>12.0</v>
      </c>
      <c r="D132" s="11">
        <v>32.0</v>
      </c>
      <c r="E132" s="11">
        <v>34.0</v>
      </c>
      <c r="F132" s="11">
        <v>14.0</v>
      </c>
      <c r="G132" s="11">
        <v>0.0</v>
      </c>
      <c r="H132" s="11">
        <v>1.0</v>
      </c>
      <c r="I132" s="11">
        <v>31.0</v>
      </c>
      <c r="J132" s="11">
        <v>29.0</v>
      </c>
      <c r="K132" s="11">
        <v>0.0</v>
      </c>
      <c r="L132" s="11">
        <v>34.0</v>
      </c>
      <c r="M132" s="11">
        <v>0.0</v>
      </c>
      <c r="N132" s="11">
        <v>187.0</v>
      </c>
    </row>
    <row r="133">
      <c r="A133" s="11" t="s">
        <v>703</v>
      </c>
      <c r="B133" s="21">
        <v>132.0</v>
      </c>
      <c r="C133" s="11">
        <v>13.0</v>
      </c>
      <c r="D133" s="11">
        <v>27.0</v>
      </c>
      <c r="E133" s="11">
        <v>30.0</v>
      </c>
      <c r="F133" s="11">
        <v>14.0</v>
      </c>
      <c r="G133" s="11">
        <v>2.0</v>
      </c>
      <c r="H133" s="11">
        <v>1.0</v>
      </c>
      <c r="I133" s="11">
        <v>25.0</v>
      </c>
      <c r="J133" s="11">
        <v>27.0</v>
      </c>
      <c r="K133" s="11">
        <v>0.0</v>
      </c>
      <c r="L133" s="11">
        <v>30.0</v>
      </c>
      <c r="M133" s="11">
        <v>0.0</v>
      </c>
      <c r="N133" s="11">
        <v>169.0</v>
      </c>
    </row>
    <row r="134">
      <c r="A134" s="11" t="s">
        <v>704</v>
      </c>
      <c r="B134" s="21">
        <v>146.0</v>
      </c>
      <c r="C134" s="11">
        <v>0.0</v>
      </c>
      <c r="D134" s="11">
        <v>6.0</v>
      </c>
      <c r="E134" s="11">
        <v>19.0</v>
      </c>
      <c r="F134" s="11">
        <v>12.0</v>
      </c>
      <c r="G134" s="11">
        <v>6.0</v>
      </c>
      <c r="H134" s="11">
        <v>1.0</v>
      </c>
      <c r="I134" s="11">
        <v>3.0</v>
      </c>
      <c r="J134" s="11">
        <v>9.0</v>
      </c>
      <c r="K134" s="11">
        <v>12.0</v>
      </c>
      <c r="L134" s="11">
        <v>19.0</v>
      </c>
      <c r="M134" s="11">
        <v>0.0</v>
      </c>
      <c r="N134" s="11">
        <v>87.0</v>
      </c>
    </row>
    <row r="135">
      <c r="A135" s="11" t="s">
        <v>705</v>
      </c>
      <c r="B135" s="21">
        <v>147.0</v>
      </c>
      <c r="C135" s="11">
        <v>7.0</v>
      </c>
      <c r="D135" s="11">
        <v>68.0</v>
      </c>
      <c r="E135" s="11">
        <v>70.0</v>
      </c>
      <c r="F135" s="11">
        <v>6.0</v>
      </c>
      <c r="G135" s="11">
        <v>1.0</v>
      </c>
      <c r="H135" s="11">
        <v>1.0</v>
      </c>
      <c r="I135" s="11">
        <v>61.0</v>
      </c>
      <c r="J135" s="11">
        <v>68.0</v>
      </c>
      <c r="K135" s="11">
        <v>13.0</v>
      </c>
      <c r="L135" s="11">
        <v>71.0</v>
      </c>
      <c r="M135" s="11">
        <v>0.0</v>
      </c>
      <c r="N135" s="11">
        <v>366.0</v>
      </c>
    </row>
    <row r="136">
      <c r="A136" s="16"/>
      <c r="B136" s="17"/>
      <c r="C136" s="18">
        <f t="shared" ref="C136:L136" si="7">COUNTIF(C92:C135,"&gt;0")</f>
        <v>39</v>
      </c>
      <c r="D136" s="18">
        <f t="shared" si="7"/>
        <v>44</v>
      </c>
      <c r="E136" s="18">
        <f t="shared" si="7"/>
        <v>44</v>
      </c>
      <c r="F136" s="18">
        <f t="shared" si="7"/>
        <v>42</v>
      </c>
      <c r="G136" s="18">
        <f t="shared" si="7"/>
        <v>23</v>
      </c>
      <c r="H136" s="18">
        <f t="shared" si="7"/>
        <v>29</v>
      </c>
      <c r="I136" s="18">
        <f t="shared" si="7"/>
        <v>44</v>
      </c>
      <c r="J136" s="18">
        <f t="shared" si="7"/>
        <v>44</v>
      </c>
      <c r="K136" s="18">
        <f t="shared" si="7"/>
        <v>26</v>
      </c>
      <c r="L136" s="18">
        <f t="shared" si="7"/>
        <v>43</v>
      </c>
      <c r="M136" s="19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</row>
    <row r="137">
      <c r="A137" s="16" t="s">
        <v>657</v>
      </c>
      <c r="B137" s="17"/>
      <c r="C137" s="19">
        <f t="shared" ref="C137:L137" si="8">AVERAGE(C92:C135)</f>
        <v>5.113636364</v>
      </c>
      <c r="D137" s="19">
        <f t="shared" si="8"/>
        <v>37.93181818</v>
      </c>
      <c r="E137" s="19">
        <f t="shared" si="8"/>
        <v>40.31818182</v>
      </c>
      <c r="F137" s="19">
        <f t="shared" si="8"/>
        <v>6.772727273</v>
      </c>
      <c r="G137" s="19">
        <f t="shared" si="8"/>
        <v>1.340909091</v>
      </c>
      <c r="H137" s="19">
        <f t="shared" si="8"/>
        <v>1.818181818</v>
      </c>
      <c r="I137" s="19">
        <f t="shared" si="8"/>
        <v>32.25</v>
      </c>
      <c r="J137" s="19">
        <f t="shared" si="8"/>
        <v>38.70454545</v>
      </c>
      <c r="K137" s="19">
        <f t="shared" si="8"/>
        <v>3.159090909</v>
      </c>
      <c r="L137" s="19">
        <f t="shared" si="8"/>
        <v>40.40909091</v>
      </c>
      <c r="M137" s="19" t="str">
        <f>AVERAGE(M54:M135)</f>
        <v>#REF!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</row>
    <row r="138">
      <c r="A138" s="7" t="s">
        <v>658</v>
      </c>
      <c r="B138" s="7"/>
      <c r="C138" s="20">
        <f t="shared" ref="C138:L138" si="9">MIN(C92:C135)</f>
        <v>0</v>
      </c>
      <c r="D138" s="20">
        <f t="shared" si="9"/>
        <v>1</v>
      </c>
      <c r="E138" s="20">
        <f t="shared" si="9"/>
        <v>1</v>
      </c>
      <c r="F138" s="20">
        <f t="shared" si="9"/>
        <v>0</v>
      </c>
      <c r="G138" s="20">
        <f t="shared" si="9"/>
        <v>0</v>
      </c>
      <c r="H138" s="20">
        <f t="shared" si="9"/>
        <v>0</v>
      </c>
      <c r="I138" s="20">
        <f t="shared" si="9"/>
        <v>1</v>
      </c>
      <c r="J138" s="20">
        <f t="shared" si="9"/>
        <v>2</v>
      </c>
      <c r="K138" s="20">
        <f t="shared" si="9"/>
        <v>0</v>
      </c>
      <c r="L138" s="20">
        <f t="shared" si="9"/>
        <v>0</v>
      </c>
      <c r="M138" s="20" t="str">
        <f>MIN(#REF!)</f>
        <v>#REF!</v>
      </c>
      <c r="N138" s="7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>
      <c r="A139" s="7" t="s">
        <v>659</v>
      </c>
      <c r="B139" s="7"/>
      <c r="C139" s="20">
        <f t="shared" ref="C139:L139" si="10">MAX(C92:C135)</f>
        <v>14</v>
      </c>
      <c r="D139" s="20">
        <f t="shared" si="10"/>
        <v>139</v>
      </c>
      <c r="E139" s="20">
        <f t="shared" si="10"/>
        <v>140</v>
      </c>
      <c r="F139" s="20">
        <f t="shared" si="10"/>
        <v>18</v>
      </c>
      <c r="G139" s="20">
        <f t="shared" si="10"/>
        <v>14</v>
      </c>
      <c r="H139" s="20">
        <f t="shared" si="10"/>
        <v>10</v>
      </c>
      <c r="I139" s="20">
        <f t="shared" si="10"/>
        <v>136</v>
      </c>
      <c r="J139" s="20">
        <f t="shared" si="10"/>
        <v>139</v>
      </c>
      <c r="K139" s="20">
        <f t="shared" si="10"/>
        <v>26</v>
      </c>
      <c r="L139" s="20">
        <f t="shared" si="10"/>
        <v>139</v>
      </c>
      <c r="M139" s="20" t="str">
        <f>MAX(#REF!)</f>
        <v>#REF!</v>
      </c>
      <c r="N139" s="7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>
      <c r="A140" s="16" t="s">
        <v>660</v>
      </c>
      <c r="B140" s="17"/>
      <c r="C140" s="19">
        <f t="shared" ref="C140:L140" si="11">STDEV(C92:C135)</f>
        <v>4.260232056</v>
      </c>
      <c r="D140" s="19">
        <f t="shared" si="11"/>
        <v>29.40605675</v>
      </c>
      <c r="E140" s="19">
        <f t="shared" si="11"/>
        <v>28.72789158</v>
      </c>
      <c r="F140" s="19">
        <f t="shared" si="11"/>
        <v>4.197804722</v>
      </c>
      <c r="G140" s="19">
        <f t="shared" si="11"/>
        <v>2.429883544</v>
      </c>
      <c r="H140" s="19">
        <f t="shared" si="11"/>
        <v>2.223267314</v>
      </c>
      <c r="I140" s="19">
        <f t="shared" si="11"/>
        <v>26.69476475</v>
      </c>
      <c r="J140" s="19">
        <f t="shared" si="11"/>
        <v>29.23328745</v>
      </c>
      <c r="K140" s="19">
        <f t="shared" si="11"/>
        <v>5.786685527</v>
      </c>
      <c r="L140" s="19">
        <f t="shared" si="11"/>
        <v>28.75179928</v>
      </c>
      <c r="M140" s="19" t="str">
        <f>STDEV(#REF!)</f>
        <v>#REF!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</row>
    <row r="141">
      <c r="A141" s="7" t="s">
        <v>661</v>
      </c>
      <c r="B141" s="7"/>
      <c r="C141" s="20">
        <f t="shared" ref="C141:L141" si="12">median(C92:C135)</f>
        <v>4.5</v>
      </c>
      <c r="D141" s="20">
        <f t="shared" si="12"/>
        <v>30</v>
      </c>
      <c r="E141" s="20">
        <f t="shared" si="12"/>
        <v>32.5</v>
      </c>
      <c r="F141" s="20">
        <f t="shared" si="12"/>
        <v>6</v>
      </c>
      <c r="G141" s="20">
        <f t="shared" si="12"/>
        <v>1</v>
      </c>
      <c r="H141" s="20">
        <f t="shared" si="12"/>
        <v>1</v>
      </c>
      <c r="I141" s="20">
        <f t="shared" si="12"/>
        <v>25</v>
      </c>
      <c r="J141" s="20">
        <f t="shared" si="12"/>
        <v>30</v>
      </c>
      <c r="K141" s="20">
        <f t="shared" si="12"/>
        <v>1</v>
      </c>
      <c r="L141" s="20">
        <f t="shared" si="12"/>
        <v>32.5</v>
      </c>
      <c r="M141" s="20" t="str">
        <f>median(#REF!)</f>
        <v>#REF!</v>
      </c>
      <c r="N141" s="7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>
      <c r="A142" s="11"/>
      <c r="B142" s="2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>
      <c r="A143" s="11"/>
      <c r="B143" s="2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>
      <c r="A144" s="11"/>
      <c r="B144" s="2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>
      <c r="A145" s="11"/>
      <c r="B145" s="2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>
      <c r="A146" s="11" t="s">
        <v>706</v>
      </c>
      <c r="B146" s="22">
        <v>157.0</v>
      </c>
      <c r="C146" s="11">
        <v>4.0</v>
      </c>
      <c r="D146" s="11">
        <v>123.0</v>
      </c>
      <c r="E146" s="11">
        <v>126.0</v>
      </c>
      <c r="F146" s="11">
        <v>5.0</v>
      </c>
      <c r="G146" s="11">
        <v>1.0</v>
      </c>
      <c r="H146" s="11">
        <v>0.0</v>
      </c>
      <c r="I146" s="11">
        <v>120.0</v>
      </c>
      <c r="J146" s="11">
        <v>123.0</v>
      </c>
      <c r="K146" s="11">
        <v>0.0</v>
      </c>
      <c r="L146" s="11">
        <v>126.0</v>
      </c>
      <c r="M146" s="11">
        <v>0.0</v>
      </c>
      <c r="N146" s="11">
        <v>628.0</v>
      </c>
    </row>
    <row r="147">
      <c r="A147" s="11" t="s">
        <v>707</v>
      </c>
      <c r="B147" s="22">
        <v>158.0</v>
      </c>
      <c r="C147" s="11">
        <v>10.0</v>
      </c>
      <c r="D147" s="11">
        <v>21.0</v>
      </c>
      <c r="E147" s="11">
        <v>23.0</v>
      </c>
      <c r="F147" s="11">
        <v>18.0</v>
      </c>
      <c r="G147" s="11">
        <v>0.0</v>
      </c>
      <c r="H147" s="11">
        <v>4.0</v>
      </c>
      <c r="I147" s="11">
        <v>19.0</v>
      </c>
      <c r="J147" s="11">
        <v>26.0</v>
      </c>
      <c r="K147" s="11">
        <v>6.0</v>
      </c>
      <c r="L147" s="11">
        <v>22.0</v>
      </c>
      <c r="M147" s="11">
        <v>0.0</v>
      </c>
      <c r="N147" s="11">
        <v>149.0</v>
      </c>
    </row>
    <row r="148">
      <c r="A148" s="11" t="s">
        <v>708</v>
      </c>
      <c r="B148" s="22">
        <v>159.0</v>
      </c>
      <c r="C148" s="11">
        <v>5.0</v>
      </c>
      <c r="D148" s="11">
        <v>9.0</v>
      </c>
      <c r="E148" s="11">
        <v>11.0</v>
      </c>
      <c r="F148" s="11">
        <v>7.0</v>
      </c>
      <c r="G148" s="11">
        <v>0.0</v>
      </c>
      <c r="H148" s="11">
        <v>0.0</v>
      </c>
      <c r="I148" s="11">
        <v>9.0</v>
      </c>
      <c r="J148" s="11">
        <v>11.0</v>
      </c>
      <c r="K148" s="11">
        <v>0.0</v>
      </c>
      <c r="L148" s="11">
        <v>11.0</v>
      </c>
      <c r="M148" s="11">
        <v>0.0</v>
      </c>
      <c r="N148" s="11">
        <v>63.0</v>
      </c>
    </row>
    <row r="149">
      <c r="A149" s="11" t="s">
        <v>709</v>
      </c>
      <c r="B149" s="22">
        <v>159.0</v>
      </c>
      <c r="C149" s="11">
        <v>1.0</v>
      </c>
      <c r="D149" s="11">
        <v>5.0</v>
      </c>
      <c r="E149" s="11">
        <v>10.0</v>
      </c>
      <c r="F149" s="11">
        <v>6.0</v>
      </c>
      <c r="G149" s="11">
        <v>0.0</v>
      </c>
      <c r="H149" s="11">
        <v>0.0</v>
      </c>
      <c r="I149" s="11">
        <v>5.0</v>
      </c>
      <c r="J149" s="11">
        <v>10.0</v>
      </c>
      <c r="K149" s="11">
        <v>4.0</v>
      </c>
      <c r="L149" s="11">
        <v>10.0</v>
      </c>
      <c r="M149" s="11">
        <v>0.0</v>
      </c>
      <c r="N149" s="11">
        <v>51.0</v>
      </c>
    </row>
    <row r="150">
      <c r="A150" s="11" t="s">
        <v>710</v>
      </c>
      <c r="B150" s="22">
        <v>163.0</v>
      </c>
      <c r="C150" s="11">
        <v>9.0</v>
      </c>
      <c r="D150" s="11">
        <v>48.0</v>
      </c>
      <c r="E150" s="11">
        <v>49.0</v>
      </c>
      <c r="F150" s="11">
        <v>12.0</v>
      </c>
      <c r="G150" s="11">
        <v>1.0</v>
      </c>
      <c r="H150" s="11">
        <v>1.0</v>
      </c>
      <c r="I150" s="11">
        <v>47.0</v>
      </c>
      <c r="J150" s="11">
        <v>47.0</v>
      </c>
      <c r="K150" s="11">
        <v>0.0</v>
      </c>
      <c r="L150" s="11">
        <v>49.0</v>
      </c>
      <c r="M150" s="11">
        <v>0.0</v>
      </c>
      <c r="N150" s="11">
        <v>263.0</v>
      </c>
    </row>
    <row r="151">
      <c r="A151" s="11" t="s">
        <v>711</v>
      </c>
      <c r="B151" s="22">
        <v>165.0</v>
      </c>
      <c r="C151" s="11">
        <v>12.0</v>
      </c>
      <c r="D151" s="11">
        <v>46.0</v>
      </c>
      <c r="E151" s="11">
        <v>55.0</v>
      </c>
      <c r="F151" s="11">
        <v>11.0</v>
      </c>
      <c r="G151" s="11">
        <v>5.0</v>
      </c>
      <c r="H151" s="11">
        <v>3.0</v>
      </c>
      <c r="I151" s="11">
        <v>43.0</v>
      </c>
      <c r="J151" s="11">
        <v>51.0</v>
      </c>
      <c r="K151" s="11">
        <v>1.0</v>
      </c>
      <c r="L151" s="11">
        <v>55.0</v>
      </c>
      <c r="M151" s="11">
        <v>0.0</v>
      </c>
      <c r="N151" s="11">
        <v>282.0</v>
      </c>
    </row>
    <row r="152">
      <c r="A152" s="11" t="s">
        <v>712</v>
      </c>
      <c r="B152" s="22">
        <v>170.0</v>
      </c>
      <c r="C152" s="11">
        <v>13.0</v>
      </c>
      <c r="D152" s="11">
        <v>20.0</v>
      </c>
      <c r="E152" s="11">
        <v>23.0</v>
      </c>
      <c r="F152" s="11">
        <v>16.0</v>
      </c>
      <c r="G152" s="11">
        <v>3.0</v>
      </c>
      <c r="H152" s="11">
        <v>1.0</v>
      </c>
      <c r="I152" s="11">
        <v>20.0</v>
      </c>
      <c r="J152" s="11">
        <v>13.0</v>
      </c>
      <c r="K152" s="11">
        <v>0.0</v>
      </c>
      <c r="L152" s="11">
        <v>23.0</v>
      </c>
      <c r="M152" s="11">
        <v>0.0</v>
      </c>
      <c r="N152" s="11">
        <v>132.0</v>
      </c>
    </row>
    <row r="153">
      <c r="A153" s="11" t="s">
        <v>713</v>
      </c>
      <c r="B153" s="22">
        <v>179.0</v>
      </c>
      <c r="C153" s="11">
        <v>14.0</v>
      </c>
      <c r="D153" s="11">
        <v>33.0</v>
      </c>
      <c r="E153" s="11">
        <v>33.0</v>
      </c>
      <c r="F153" s="11">
        <v>12.0</v>
      </c>
      <c r="G153" s="11">
        <v>4.0</v>
      </c>
      <c r="H153" s="11">
        <v>0.0</v>
      </c>
      <c r="I153" s="11">
        <v>31.0</v>
      </c>
      <c r="J153" s="11">
        <v>24.0</v>
      </c>
      <c r="K153" s="11">
        <v>1.0</v>
      </c>
      <c r="L153" s="11">
        <v>34.0</v>
      </c>
      <c r="M153" s="11">
        <v>0.0</v>
      </c>
      <c r="N153" s="11">
        <v>186.0</v>
      </c>
    </row>
    <row r="154">
      <c r="A154" s="11" t="s">
        <v>714</v>
      </c>
      <c r="B154" s="22">
        <v>183.0</v>
      </c>
      <c r="C154" s="11">
        <v>0.0</v>
      </c>
      <c r="D154" s="11">
        <v>66.0</v>
      </c>
      <c r="E154" s="11">
        <v>88.0</v>
      </c>
      <c r="F154" s="11">
        <v>8.0</v>
      </c>
      <c r="G154" s="11">
        <v>8.0</v>
      </c>
      <c r="H154" s="11">
        <v>0.0</v>
      </c>
      <c r="I154" s="11">
        <v>63.0</v>
      </c>
      <c r="J154" s="11">
        <v>68.0</v>
      </c>
      <c r="K154" s="11">
        <v>5.0</v>
      </c>
      <c r="L154" s="11">
        <v>88.0</v>
      </c>
      <c r="M154" s="11">
        <v>0.0</v>
      </c>
      <c r="N154" s="11">
        <v>394.0</v>
      </c>
    </row>
    <row r="155">
      <c r="A155" s="11" t="s">
        <v>715</v>
      </c>
      <c r="B155" s="22">
        <v>185.0</v>
      </c>
      <c r="C155" s="11">
        <v>1.0</v>
      </c>
      <c r="D155" s="11">
        <v>13.0</v>
      </c>
      <c r="E155" s="11">
        <v>25.0</v>
      </c>
      <c r="F155" s="11">
        <v>16.0</v>
      </c>
      <c r="G155" s="11">
        <v>1.0</v>
      </c>
      <c r="H155" s="11">
        <v>0.0</v>
      </c>
      <c r="I155" s="11">
        <v>12.0</v>
      </c>
      <c r="J155" s="11">
        <v>25.0</v>
      </c>
      <c r="K155" s="11">
        <v>12.0</v>
      </c>
      <c r="L155" s="11">
        <v>13.0</v>
      </c>
      <c r="M155" s="11">
        <v>0.0</v>
      </c>
      <c r="N155" s="11">
        <v>118.0</v>
      </c>
    </row>
    <row r="156">
      <c r="A156" s="11" t="s">
        <v>716</v>
      </c>
      <c r="B156" s="22">
        <v>189.0</v>
      </c>
      <c r="C156" s="11">
        <v>15.0</v>
      </c>
      <c r="D156" s="11">
        <v>32.0</v>
      </c>
      <c r="E156" s="11">
        <v>40.0</v>
      </c>
      <c r="F156" s="11">
        <v>14.0</v>
      </c>
      <c r="G156" s="11">
        <v>4.0</v>
      </c>
      <c r="H156" s="11">
        <v>1.0</v>
      </c>
      <c r="I156" s="11">
        <v>36.0</v>
      </c>
      <c r="J156" s="11">
        <v>33.0</v>
      </c>
      <c r="K156" s="11">
        <v>1.0</v>
      </c>
      <c r="L156" s="11">
        <v>40.0</v>
      </c>
      <c r="M156" s="11">
        <v>0.0</v>
      </c>
      <c r="N156" s="11">
        <v>216.0</v>
      </c>
    </row>
    <row r="157">
      <c r="A157" s="11" t="s">
        <v>717</v>
      </c>
      <c r="B157" s="22">
        <v>190.0</v>
      </c>
      <c r="C157" s="11">
        <v>0.0</v>
      </c>
      <c r="D157" s="11">
        <v>37.0</v>
      </c>
      <c r="E157" s="11">
        <v>54.0</v>
      </c>
      <c r="F157" s="11">
        <v>8.0</v>
      </c>
      <c r="G157" s="11">
        <v>8.0</v>
      </c>
      <c r="H157" s="11">
        <v>0.0</v>
      </c>
      <c r="I157" s="11">
        <v>34.0</v>
      </c>
      <c r="J157" s="11">
        <v>36.0</v>
      </c>
      <c r="K157" s="11">
        <v>34.0</v>
      </c>
      <c r="L157" s="11">
        <v>54.0</v>
      </c>
      <c r="M157" s="11">
        <v>0.0</v>
      </c>
      <c r="N157" s="11">
        <v>265.0</v>
      </c>
    </row>
    <row r="158">
      <c r="A158" s="11" t="s">
        <v>718</v>
      </c>
      <c r="B158" s="22">
        <v>191.0</v>
      </c>
      <c r="C158" s="11">
        <v>6.0</v>
      </c>
      <c r="D158" s="11">
        <v>76.0</v>
      </c>
      <c r="E158" s="11">
        <v>84.0</v>
      </c>
      <c r="F158" s="11">
        <v>6.0</v>
      </c>
      <c r="G158" s="11">
        <v>5.0</v>
      </c>
      <c r="H158" s="11">
        <v>0.0</v>
      </c>
      <c r="I158" s="11">
        <v>77.0</v>
      </c>
      <c r="J158" s="11">
        <v>75.0</v>
      </c>
      <c r="K158" s="11">
        <v>1.0</v>
      </c>
      <c r="L158" s="11">
        <v>84.0</v>
      </c>
      <c r="M158" s="11">
        <v>0.0</v>
      </c>
      <c r="N158" s="11">
        <v>414.0</v>
      </c>
    </row>
    <row r="159">
      <c r="A159" s="11" t="s">
        <v>719</v>
      </c>
      <c r="B159" s="22">
        <v>203.0</v>
      </c>
      <c r="C159" s="11">
        <v>5.0</v>
      </c>
      <c r="D159" s="11">
        <v>17.0</v>
      </c>
      <c r="E159" s="11">
        <v>23.0</v>
      </c>
      <c r="F159" s="11">
        <v>16.0</v>
      </c>
      <c r="G159" s="11">
        <v>3.0</v>
      </c>
      <c r="H159" s="11">
        <v>4.0</v>
      </c>
      <c r="I159" s="11">
        <v>14.0</v>
      </c>
      <c r="J159" s="11">
        <v>23.0</v>
      </c>
      <c r="K159" s="11">
        <v>0.0</v>
      </c>
      <c r="L159" s="11">
        <v>17.0</v>
      </c>
      <c r="M159" s="11">
        <v>0.0</v>
      </c>
      <c r="N159" s="11">
        <v>122.0</v>
      </c>
    </row>
    <row r="160">
      <c r="A160" s="11" t="s">
        <v>720</v>
      </c>
      <c r="B160" s="22">
        <v>210.0</v>
      </c>
      <c r="C160" s="11">
        <v>7.0</v>
      </c>
      <c r="D160" s="11">
        <v>16.0</v>
      </c>
      <c r="E160" s="11">
        <v>29.0</v>
      </c>
      <c r="F160" s="11">
        <v>12.0</v>
      </c>
      <c r="G160" s="11">
        <v>3.0</v>
      </c>
      <c r="H160" s="11">
        <v>3.0</v>
      </c>
      <c r="I160" s="11">
        <v>19.0</v>
      </c>
      <c r="J160" s="11">
        <v>24.0</v>
      </c>
      <c r="K160" s="11">
        <v>5.0</v>
      </c>
      <c r="L160" s="11">
        <v>29.0</v>
      </c>
      <c r="M160" s="11">
        <v>0.0</v>
      </c>
      <c r="N160" s="11">
        <v>147.0</v>
      </c>
    </row>
    <row r="161">
      <c r="A161" s="11" t="s">
        <v>721</v>
      </c>
      <c r="B161" s="22">
        <v>217.0</v>
      </c>
      <c r="C161" s="11">
        <v>3.0</v>
      </c>
      <c r="D161" s="11">
        <v>68.0</v>
      </c>
      <c r="E161" s="11">
        <v>73.0</v>
      </c>
      <c r="F161" s="11">
        <v>6.0</v>
      </c>
      <c r="G161" s="11">
        <v>1.0</v>
      </c>
      <c r="H161" s="11">
        <v>0.0</v>
      </c>
      <c r="I161" s="11">
        <v>67.0</v>
      </c>
      <c r="J161" s="11">
        <v>69.0</v>
      </c>
      <c r="K161" s="11">
        <v>6.0</v>
      </c>
      <c r="L161" s="11">
        <v>73.0</v>
      </c>
      <c r="M161" s="11">
        <v>0.0</v>
      </c>
      <c r="N161" s="11">
        <v>366.0</v>
      </c>
    </row>
    <row r="162">
      <c r="A162" s="11" t="s">
        <v>722</v>
      </c>
      <c r="B162" s="22">
        <v>228.0</v>
      </c>
      <c r="C162" s="11">
        <v>18.0</v>
      </c>
      <c r="D162" s="11">
        <v>30.0</v>
      </c>
      <c r="E162" s="11">
        <v>43.0</v>
      </c>
      <c r="F162" s="11">
        <v>21.0</v>
      </c>
      <c r="G162" s="11">
        <v>1.0</v>
      </c>
      <c r="H162" s="11">
        <v>0.0</v>
      </c>
      <c r="I162" s="11">
        <v>33.0</v>
      </c>
      <c r="J162" s="11">
        <v>36.0</v>
      </c>
      <c r="K162" s="11">
        <v>3.0</v>
      </c>
      <c r="L162" s="11">
        <v>43.0</v>
      </c>
      <c r="M162" s="11">
        <v>0.0</v>
      </c>
      <c r="N162" s="11">
        <v>228.0</v>
      </c>
    </row>
    <row r="163">
      <c r="A163" s="11" t="s">
        <v>723</v>
      </c>
      <c r="B163" s="22">
        <v>229.0</v>
      </c>
      <c r="C163" s="11">
        <v>4.0</v>
      </c>
      <c r="D163" s="11">
        <v>28.0</v>
      </c>
      <c r="E163" s="11">
        <v>38.0</v>
      </c>
      <c r="F163" s="11">
        <v>9.0</v>
      </c>
      <c r="G163" s="11">
        <v>7.0</v>
      </c>
      <c r="H163" s="11">
        <v>0.0</v>
      </c>
      <c r="I163" s="11">
        <v>27.0</v>
      </c>
      <c r="J163" s="11">
        <v>28.0</v>
      </c>
      <c r="K163" s="11">
        <v>5.0</v>
      </c>
      <c r="L163" s="11">
        <v>38.0</v>
      </c>
      <c r="M163" s="11">
        <v>0.0</v>
      </c>
      <c r="N163" s="11">
        <v>184.0</v>
      </c>
    </row>
    <row r="164">
      <c r="A164" s="11" t="s">
        <v>724</v>
      </c>
      <c r="B164" s="22">
        <v>254.0</v>
      </c>
      <c r="C164" s="11">
        <v>5.0</v>
      </c>
      <c r="D164" s="11">
        <v>55.0</v>
      </c>
      <c r="E164" s="11">
        <v>54.0</v>
      </c>
      <c r="F164" s="11">
        <v>7.0</v>
      </c>
      <c r="G164" s="11">
        <v>1.0</v>
      </c>
      <c r="H164" s="11">
        <v>2.0</v>
      </c>
      <c r="I164" s="11">
        <v>55.0</v>
      </c>
      <c r="J164" s="11">
        <v>57.0</v>
      </c>
      <c r="K164" s="11">
        <v>0.0</v>
      </c>
      <c r="L164" s="11">
        <v>55.0</v>
      </c>
      <c r="M164" s="11">
        <v>0.0</v>
      </c>
      <c r="N164" s="11">
        <v>291.0</v>
      </c>
    </row>
    <row r="165">
      <c r="A165" s="11" t="s">
        <v>725</v>
      </c>
      <c r="B165" s="22">
        <v>261.0</v>
      </c>
      <c r="C165" s="11">
        <v>1.0</v>
      </c>
      <c r="D165" s="11">
        <v>6.0</v>
      </c>
      <c r="E165" s="11">
        <v>13.0</v>
      </c>
      <c r="F165" s="11">
        <v>4.0</v>
      </c>
      <c r="G165" s="11">
        <v>4.0</v>
      </c>
      <c r="H165" s="11">
        <v>2.0</v>
      </c>
      <c r="I165" s="11">
        <v>7.0</v>
      </c>
      <c r="J165" s="11">
        <v>10.0</v>
      </c>
      <c r="K165" s="11">
        <v>6.0</v>
      </c>
      <c r="L165" s="11">
        <v>13.0</v>
      </c>
      <c r="M165" s="11">
        <v>0.0</v>
      </c>
      <c r="N165" s="11">
        <v>66.0</v>
      </c>
    </row>
    <row r="166">
      <c r="A166" s="11" t="s">
        <v>726</v>
      </c>
      <c r="B166" s="22">
        <v>265.0</v>
      </c>
      <c r="C166" s="11">
        <v>13.0</v>
      </c>
      <c r="D166" s="11">
        <v>21.0</v>
      </c>
      <c r="E166" s="11">
        <v>33.0</v>
      </c>
      <c r="F166" s="11">
        <v>18.0</v>
      </c>
      <c r="G166" s="11">
        <v>7.0</v>
      </c>
      <c r="H166" s="11">
        <v>2.0</v>
      </c>
      <c r="I166" s="11">
        <v>20.0</v>
      </c>
      <c r="J166" s="11">
        <v>18.0</v>
      </c>
      <c r="K166" s="11">
        <v>0.0</v>
      </c>
      <c r="L166" s="11">
        <v>33.0</v>
      </c>
      <c r="M166" s="11">
        <v>0.0</v>
      </c>
      <c r="N166" s="11">
        <v>165.0</v>
      </c>
    </row>
    <row r="167">
      <c r="A167" s="11" t="s">
        <v>727</v>
      </c>
      <c r="B167" s="22">
        <v>294.0</v>
      </c>
      <c r="C167" s="11">
        <v>0.0</v>
      </c>
      <c r="D167" s="11">
        <v>14.0</v>
      </c>
      <c r="E167" s="11">
        <v>64.0</v>
      </c>
      <c r="F167" s="11">
        <v>42.0</v>
      </c>
      <c r="G167" s="11">
        <v>12.0</v>
      </c>
      <c r="H167" s="11">
        <v>1.0</v>
      </c>
      <c r="I167" s="11">
        <v>14.0</v>
      </c>
      <c r="J167" s="11">
        <v>45.0</v>
      </c>
      <c r="K167" s="11">
        <v>25.0</v>
      </c>
      <c r="L167" s="11">
        <v>64.0</v>
      </c>
      <c r="M167" s="11">
        <v>0.0</v>
      </c>
      <c r="N167" s="11">
        <v>281.0</v>
      </c>
    </row>
    <row r="168">
      <c r="A168" s="11" t="s">
        <v>728</v>
      </c>
      <c r="B168" s="22">
        <v>299.0</v>
      </c>
      <c r="C168" s="11">
        <v>5.0</v>
      </c>
      <c r="D168" s="11">
        <v>32.0</v>
      </c>
      <c r="E168" s="11">
        <v>55.0</v>
      </c>
      <c r="F168" s="11">
        <v>18.0</v>
      </c>
      <c r="G168" s="11">
        <v>12.0</v>
      </c>
      <c r="H168" s="11">
        <v>0.0</v>
      </c>
      <c r="I168" s="11">
        <v>33.0</v>
      </c>
      <c r="J168" s="11">
        <v>37.0</v>
      </c>
      <c r="K168" s="11">
        <v>6.0</v>
      </c>
      <c r="L168" s="11">
        <v>55.0</v>
      </c>
      <c r="M168" s="11">
        <v>0.0</v>
      </c>
      <c r="N168" s="11">
        <v>253.0</v>
      </c>
    </row>
    <row r="169">
      <c r="A169" s="11" t="s">
        <v>729</v>
      </c>
      <c r="B169" s="22">
        <v>357.0</v>
      </c>
      <c r="C169" s="11">
        <v>0.0</v>
      </c>
      <c r="D169" s="11">
        <v>36.0</v>
      </c>
      <c r="E169" s="11">
        <v>50.0</v>
      </c>
      <c r="F169" s="11">
        <v>1.0</v>
      </c>
      <c r="G169" s="11">
        <v>0.0</v>
      </c>
      <c r="H169" s="11">
        <v>0.0</v>
      </c>
      <c r="I169" s="11">
        <v>33.0</v>
      </c>
      <c r="J169" s="11">
        <v>37.0</v>
      </c>
      <c r="K169" s="11">
        <v>6.0</v>
      </c>
      <c r="L169" s="11">
        <v>50.0</v>
      </c>
      <c r="M169" s="11">
        <v>0.0</v>
      </c>
      <c r="N169" s="11">
        <v>213.0</v>
      </c>
    </row>
    <row r="170">
      <c r="A170" s="11" t="s">
        <v>730</v>
      </c>
      <c r="B170" s="22">
        <v>372.0</v>
      </c>
      <c r="C170" s="11">
        <v>0.0</v>
      </c>
      <c r="D170" s="11">
        <v>37.0</v>
      </c>
      <c r="E170" s="11">
        <v>55.0</v>
      </c>
      <c r="F170" s="11">
        <v>2.0</v>
      </c>
      <c r="G170" s="11">
        <v>0.0</v>
      </c>
      <c r="H170" s="11">
        <v>0.0</v>
      </c>
      <c r="I170" s="11">
        <v>34.0</v>
      </c>
      <c r="J170" s="11">
        <v>38.0</v>
      </c>
      <c r="K170" s="11">
        <v>6.0</v>
      </c>
      <c r="L170" s="11">
        <v>55.0</v>
      </c>
      <c r="M170" s="11">
        <v>0.0</v>
      </c>
      <c r="N170" s="11">
        <v>227.0</v>
      </c>
    </row>
    <row r="171">
      <c r="A171" s="11" t="s">
        <v>731</v>
      </c>
      <c r="B171" s="22">
        <v>375.0</v>
      </c>
      <c r="C171" s="11">
        <v>3.0</v>
      </c>
      <c r="D171" s="11">
        <v>17.0</v>
      </c>
      <c r="E171" s="11">
        <v>30.0</v>
      </c>
      <c r="F171" s="11">
        <v>9.0</v>
      </c>
      <c r="G171" s="11">
        <v>2.0</v>
      </c>
      <c r="H171" s="11">
        <v>0.0</v>
      </c>
      <c r="I171" s="11">
        <v>11.0</v>
      </c>
      <c r="J171" s="11">
        <v>14.0</v>
      </c>
      <c r="K171" s="11">
        <v>4.0</v>
      </c>
      <c r="L171" s="11">
        <v>29.0</v>
      </c>
      <c r="M171" s="11">
        <v>0.0</v>
      </c>
      <c r="N171" s="11">
        <v>119.0</v>
      </c>
    </row>
    <row r="172">
      <c r="A172" s="11" t="s">
        <v>732</v>
      </c>
      <c r="B172" s="22">
        <v>383.0</v>
      </c>
      <c r="C172" s="11">
        <v>14.0</v>
      </c>
      <c r="D172" s="11">
        <v>39.0</v>
      </c>
      <c r="E172" s="11">
        <v>42.0</v>
      </c>
      <c r="F172" s="11">
        <v>15.0</v>
      </c>
      <c r="G172" s="11">
        <v>7.0</v>
      </c>
      <c r="H172" s="11">
        <v>1.0</v>
      </c>
      <c r="I172" s="11">
        <v>37.0</v>
      </c>
      <c r="J172" s="11">
        <v>35.0</v>
      </c>
      <c r="K172" s="11">
        <v>0.0</v>
      </c>
      <c r="L172" s="11">
        <v>42.0</v>
      </c>
      <c r="M172" s="11">
        <v>0.0</v>
      </c>
      <c r="N172" s="11">
        <v>232.0</v>
      </c>
    </row>
    <row r="173">
      <c r="A173" s="11" t="s">
        <v>733</v>
      </c>
      <c r="B173" s="22">
        <v>403.0</v>
      </c>
      <c r="C173" s="11">
        <v>7.0</v>
      </c>
      <c r="D173" s="11">
        <v>112.0</v>
      </c>
      <c r="E173" s="11">
        <v>126.0</v>
      </c>
      <c r="F173" s="11">
        <v>10.0</v>
      </c>
      <c r="G173" s="11">
        <v>15.0</v>
      </c>
      <c r="H173" s="11">
        <v>0.0</v>
      </c>
      <c r="I173" s="11">
        <v>108.0</v>
      </c>
      <c r="J173" s="11">
        <v>125.0</v>
      </c>
      <c r="K173" s="11">
        <v>8.0</v>
      </c>
      <c r="L173" s="11">
        <v>126.0</v>
      </c>
      <c r="M173" s="11">
        <v>0.0</v>
      </c>
      <c r="N173" s="11">
        <v>637.0</v>
      </c>
    </row>
    <row r="174">
      <c r="A174" s="11" t="s">
        <v>734</v>
      </c>
      <c r="B174" s="22">
        <v>412.0</v>
      </c>
      <c r="C174" s="11">
        <v>13.0</v>
      </c>
      <c r="D174" s="11">
        <v>44.0</v>
      </c>
      <c r="E174" s="11">
        <v>62.0</v>
      </c>
      <c r="F174" s="11">
        <v>16.0</v>
      </c>
      <c r="G174" s="11">
        <v>12.0</v>
      </c>
      <c r="H174" s="11">
        <v>3.0</v>
      </c>
      <c r="I174" s="11">
        <v>50.0</v>
      </c>
      <c r="J174" s="11">
        <v>43.0</v>
      </c>
      <c r="K174" s="11">
        <v>3.0</v>
      </c>
      <c r="L174" s="11">
        <v>62.0</v>
      </c>
      <c r="M174" s="11">
        <v>0.0</v>
      </c>
      <c r="N174" s="11">
        <v>308.0</v>
      </c>
    </row>
    <row r="175">
      <c r="A175" s="11" t="s">
        <v>735</v>
      </c>
      <c r="B175" s="22">
        <v>454.0</v>
      </c>
      <c r="C175" s="11">
        <v>14.0</v>
      </c>
      <c r="D175" s="11">
        <v>31.0</v>
      </c>
      <c r="E175" s="11">
        <v>45.0</v>
      </c>
      <c r="F175" s="11">
        <v>17.0</v>
      </c>
      <c r="G175" s="11">
        <v>22.0</v>
      </c>
      <c r="H175" s="11">
        <v>2.0</v>
      </c>
      <c r="I175" s="11">
        <v>27.0</v>
      </c>
      <c r="J175" s="11">
        <v>30.0</v>
      </c>
      <c r="K175" s="11">
        <v>0.0</v>
      </c>
      <c r="L175" s="11">
        <v>45.0</v>
      </c>
      <c r="M175" s="11">
        <v>0.0</v>
      </c>
      <c r="N175" s="11">
        <v>233.0</v>
      </c>
    </row>
    <row r="176">
      <c r="B176" s="10"/>
    </row>
    <row r="177">
      <c r="A177" s="16"/>
      <c r="B177" s="17"/>
      <c r="C177" s="18">
        <f t="shared" ref="C177:L177" si="13">COUNTIF(C146:C176,"&gt;0")</f>
        <v>25</v>
      </c>
      <c r="D177" s="18">
        <f t="shared" si="13"/>
        <v>30</v>
      </c>
      <c r="E177" s="18">
        <f t="shared" si="13"/>
        <v>30</v>
      </c>
      <c r="F177" s="18">
        <f t="shared" si="13"/>
        <v>30</v>
      </c>
      <c r="G177" s="18">
        <f t="shared" si="13"/>
        <v>25</v>
      </c>
      <c r="H177" s="18">
        <f t="shared" si="13"/>
        <v>14</v>
      </c>
      <c r="I177" s="18">
        <f t="shared" si="13"/>
        <v>30</v>
      </c>
      <c r="J177" s="18">
        <f t="shared" si="13"/>
        <v>30</v>
      </c>
      <c r="K177" s="18">
        <f t="shared" si="13"/>
        <v>21</v>
      </c>
      <c r="L177" s="18">
        <f t="shared" si="13"/>
        <v>30</v>
      </c>
      <c r="M177" s="19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</row>
    <row r="178">
      <c r="A178" s="23" t="s">
        <v>657</v>
      </c>
      <c r="B178" s="17"/>
      <c r="C178" s="19">
        <f t="shared" ref="C178:L178" si="14">AVERAGE(C146:C175)</f>
        <v>6.733333333</v>
      </c>
      <c r="D178" s="19">
        <f t="shared" si="14"/>
        <v>37.73333333</v>
      </c>
      <c r="E178" s="19">
        <f t="shared" si="14"/>
        <v>48.53333333</v>
      </c>
      <c r="F178" s="19">
        <f t="shared" si="14"/>
        <v>12.06666667</v>
      </c>
      <c r="G178" s="19">
        <f t="shared" si="14"/>
        <v>4.966666667</v>
      </c>
      <c r="H178" s="19">
        <f t="shared" si="14"/>
        <v>1</v>
      </c>
      <c r="I178" s="19">
        <f t="shared" si="14"/>
        <v>36.83333333</v>
      </c>
      <c r="J178" s="19">
        <f t="shared" si="14"/>
        <v>40.36666667</v>
      </c>
      <c r="K178" s="19">
        <f t="shared" si="14"/>
        <v>4.933333333</v>
      </c>
      <c r="L178" s="19">
        <f t="shared" si="14"/>
        <v>47.93333333</v>
      </c>
      <c r="M178" s="19" t="str">
        <f>AVERAGE(M2:M175)</f>
        <v>#REF!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</row>
    <row r="179">
      <c r="A179" s="8" t="s">
        <v>658</v>
      </c>
      <c r="B179" s="7"/>
      <c r="C179" s="13">
        <f t="shared" ref="C179:L179" si="15">MIN(C146:C175)</f>
        <v>0</v>
      </c>
      <c r="D179" s="13">
        <f t="shared" si="15"/>
        <v>5</v>
      </c>
      <c r="E179" s="13">
        <f t="shared" si="15"/>
        <v>10</v>
      </c>
      <c r="F179" s="13">
        <f t="shared" si="15"/>
        <v>1</v>
      </c>
      <c r="G179" s="13">
        <f t="shared" si="15"/>
        <v>0</v>
      </c>
      <c r="H179" s="13">
        <f t="shared" si="15"/>
        <v>0</v>
      </c>
      <c r="I179" s="13">
        <f t="shared" si="15"/>
        <v>5</v>
      </c>
      <c r="J179" s="13">
        <f t="shared" si="15"/>
        <v>10</v>
      </c>
      <c r="K179" s="13">
        <f t="shared" si="15"/>
        <v>0</v>
      </c>
      <c r="L179" s="13">
        <f t="shared" si="15"/>
        <v>10</v>
      </c>
      <c r="M179" s="13" t="str">
        <f>MIN(M2:M176)</f>
        <v>#REF!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>
      <c r="A180" s="8" t="s">
        <v>659</v>
      </c>
      <c r="B180" s="7"/>
      <c r="C180" s="9">
        <f t="shared" ref="C180:L180" si="16">MAX(C146:C175)</f>
        <v>18</v>
      </c>
      <c r="D180" s="9">
        <f t="shared" si="16"/>
        <v>123</v>
      </c>
      <c r="E180" s="9">
        <f t="shared" si="16"/>
        <v>126</v>
      </c>
      <c r="F180" s="9">
        <f t="shared" si="16"/>
        <v>42</v>
      </c>
      <c r="G180" s="9">
        <f t="shared" si="16"/>
        <v>22</v>
      </c>
      <c r="H180" s="9">
        <f t="shared" si="16"/>
        <v>4</v>
      </c>
      <c r="I180" s="9">
        <f t="shared" si="16"/>
        <v>120</v>
      </c>
      <c r="J180" s="9">
        <f t="shared" si="16"/>
        <v>125</v>
      </c>
      <c r="K180" s="9">
        <f t="shared" si="16"/>
        <v>34</v>
      </c>
      <c r="L180" s="9">
        <f t="shared" si="16"/>
        <v>126</v>
      </c>
      <c r="M180" s="9" t="str">
        <f>MAX(M2:M176)</f>
        <v>#REF!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>
      <c r="A181" s="23" t="s">
        <v>660</v>
      </c>
      <c r="B181" s="17"/>
      <c r="C181" s="19">
        <f t="shared" ref="C181:L181" si="17">STDEV(C146:C175)</f>
        <v>5.558053078</v>
      </c>
      <c r="D181" s="19">
        <f t="shared" si="17"/>
        <v>28.19627431</v>
      </c>
      <c r="E181" s="19">
        <f t="shared" si="17"/>
        <v>28.86799126</v>
      </c>
      <c r="F181" s="19">
        <f t="shared" si="17"/>
        <v>7.741216751</v>
      </c>
      <c r="G181" s="19">
        <f t="shared" si="17"/>
        <v>5.288134625</v>
      </c>
      <c r="H181" s="19">
        <f t="shared" si="17"/>
        <v>1.313064329</v>
      </c>
      <c r="I181" s="19">
        <f t="shared" si="17"/>
        <v>27.74897741</v>
      </c>
      <c r="J181" s="19">
        <f t="shared" si="17"/>
        <v>28.5131347</v>
      </c>
      <c r="K181" s="19">
        <f t="shared" si="17"/>
        <v>7.436783386</v>
      </c>
      <c r="L181" s="19">
        <f t="shared" si="17"/>
        <v>29.52489696</v>
      </c>
      <c r="M181" s="19" t="str">
        <f>STDEV(M2:M176)</f>
        <v>#REF!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</row>
    <row r="182">
      <c r="A182" s="11" t="s">
        <v>661</v>
      </c>
      <c r="B182" s="7"/>
      <c r="C182" s="9">
        <f t="shared" ref="C182:L182" si="18">median(C146:C175)</f>
        <v>5</v>
      </c>
      <c r="D182" s="9">
        <f t="shared" si="18"/>
        <v>32</v>
      </c>
      <c r="E182" s="9">
        <f t="shared" si="18"/>
        <v>44</v>
      </c>
      <c r="F182" s="9">
        <f t="shared" si="18"/>
        <v>11.5</v>
      </c>
      <c r="G182" s="9">
        <f t="shared" si="18"/>
        <v>3.5</v>
      </c>
      <c r="H182" s="9">
        <f t="shared" si="18"/>
        <v>0</v>
      </c>
      <c r="I182" s="9">
        <f t="shared" si="18"/>
        <v>33</v>
      </c>
      <c r="J182" s="9">
        <f t="shared" si="18"/>
        <v>35.5</v>
      </c>
      <c r="K182" s="9">
        <f t="shared" si="18"/>
        <v>3.5</v>
      </c>
      <c r="L182" s="9">
        <f t="shared" si="18"/>
        <v>44</v>
      </c>
      <c r="M182" s="9" t="str">
        <f>median(M2:M176)</f>
        <v>#REF!</v>
      </c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C194" s="10"/>
      <c r="D194" s="11" t="s">
        <v>47</v>
      </c>
      <c r="E194" s="11" t="s">
        <v>69</v>
      </c>
      <c r="F194" s="11" t="s">
        <v>86</v>
      </c>
      <c r="G194" s="11" t="s">
        <v>89</v>
      </c>
      <c r="H194" s="11" t="s">
        <v>108</v>
      </c>
      <c r="I194" s="11" t="s">
        <v>116</v>
      </c>
      <c r="J194" s="11" t="s">
        <v>128</v>
      </c>
      <c r="K194" s="11" t="s">
        <v>145</v>
      </c>
      <c r="L194" s="11" t="s">
        <v>157</v>
      </c>
      <c r="M194" s="11" t="s">
        <v>169</v>
      </c>
    </row>
    <row r="195">
      <c r="A195" s="11" t="s">
        <v>736</v>
      </c>
      <c r="B195" s="7" t="s">
        <v>661</v>
      </c>
      <c r="C195" s="7"/>
      <c r="D195" s="20">
        <v>1.0</v>
      </c>
      <c r="E195" s="20">
        <v>15.0</v>
      </c>
      <c r="F195" s="20">
        <v>16.0</v>
      </c>
      <c r="G195" s="20">
        <v>3.0</v>
      </c>
      <c r="H195" s="20">
        <v>0.0</v>
      </c>
      <c r="I195" s="20">
        <v>1.0</v>
      </c>
      <c r="J195" s="20">
        <v>11.0</v>
      </c>
      <c r="K195" s="20">
        <v>16.0</v>
      </c>
      <c r="L195" s="20">
        <v>1.0</v>
      </c>
      <c r="M195" s="20">
        <v>16.0</v>
      </c>
      <c r="N195" s="20"/>
      <c r="O195" s="7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>
      <c r="B196" s="16" t="s">
        <v>657</v>
      </c>
      <c r="C196" s="17"/>
      <c r="D196" s="19">
        <v>1.962962962962963</v>
      </c>
      <c r="E196" s="19">
        <v>33.53086419753087</v>
      </c>
      <c r="F196" s="19">
        <v>35.098765432098766</v>
      </c>
      <c r="G196" s="19">
        <v>5.1234567901234565</v>
      </c>
      <c r="H196" s="19">
        <v>0.1728395061728395</v>
      </c>
      <c r="I196" s="19">
        <v>1.1728395061728396</v>
      </c>
      <c r="J196" s="19">
        <v>26.320987654320987</v>
      </c>
      <c r="K196" s="19">
        <v>34.95061728395062</v>
      </c>
      <c r="L196" s="19">
        <v>4.592592592592593</v>
      </c>
      <c r="M196" s="19">
        <v>35.135802469135804</v>
      </c>
      <c r="N196" s="19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</row>
    <row r="197">
      <c r="B197" s="7" t="s">
        <v>658</v>
      </c>
      <c r="C197" s="7"/>
      <c r="D197" s="20">
        <v>0.0</v>
      </c>
      <c r="E197" s="20">
        <v>1.0</v>
      </c>
      <c r="F197" s="20">
        <v>1.0</v>
      </c>
      <c r="G197" s="20">
        <v>0.0</v>
      </c>
      <c r="H197" s="20">
        <v>0.0</v>
      </c>
      <c r="I197" s="20">
        <v>0.0</v>
      </c>
      <c r="J197" s="20">
        <v>0.0</v>
      </c>
      <c r="K197" s="20">
        <v>1.0</v>
      </c>
      <c r="L197" s="20">
        <v>0.0</v>
      </c>
      <c r="M197" s="20">
        <v>1.0</v>
      </c>
      <c r="N197" s="20"/>
      <c r="O197" s="7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>
      <c r="B198" s="7" t="s">
        <v>659</v>
      </c>
      <c r="C198" s="7"/>
      <c r="D198" s="20">
        <v>9.0</v>
      </c>
      <c r="E198" s="20">
        <v>942.0</v>
      </c>
      <c r="F198" s="20">
        <v>1002.0</v>
      </c>
      <c r="G198" s="20">
        <v>127.0</v>
      </c>
      <c r="H198" s="20">
        <v>3.0</v>
      </c>
      <c r="I198" s="20">
        <v>5.0</v>
      </c>
      <c r="J198" s="20">
        <v>934.0</v>
      </c>
      <c r="K198" s="20">
        <v>1002.0</v>
      </c>
      <c r="L198" s="20">
        <v>221.0</v>
      </c>
      <c r="M198" s="20">
        <v>1002.0</v>
      </c>
      <c r="N198" s="20"/>
      <c r="O198" s="7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>
      <c r="B199" s="16" t="s">
        <v>660</v>
      </c>
      <c r="C199" s="17"/>
      <c r="D199" s="19">
        <v>2.2217360579310745</v>
      </c>
      <c r="E199" s="19">
        <v>104.69695392175375</v>
      </c>
      <c r="F199" s="19">
        <v>111.10947359904459</v>
      </c>
      <c r="G199" s="19">
        <v>14.044022497177743</v>
      </c>
      <c r="H199" s="19">
        <v>0.49472526357540403</v>
      </c>
      <c r="I199" s="19">
        <v>1.3582168775345689</v>
      </c>
      <c r="J199" s="19">
        <v>103.25560846274813</v>
      </c>
      <c r="K199" s="19">
        <v>111.13369214987955</v>
      </c>
      <c r="L199" s="19">
        <v>24.51467814278712</v>
      </c>
      <c r="M199" s="19">
        <v>111.10330250339318</v>
      </c>
      <c r="N199" s="19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</row>
    <row r="200">
      <c r="C200" s="10"/>
    </row>
    <row r="201">
      <c r="A201" s="11" t="s">
        <v>737</v>
      </c>
      <c r="B201" s="7" t="s">
        <v>661</v>
      </c>
      <c r="C201" s="7"/>
      <c r="D201" s="20">
        <v>4.5</v>
      </c>
      <c r="E201" s="20">
        <v>30.0</v>
      </c>
      <c r="F201" s="20">
        <v>32.5</v>
      </c>
      <c r="G201" s="20">
        <v>6.0</v>
      </c>
      <c r="H201" s="20">
        <v>1.0</v>
      </c>
      <c r="I201" s="20">
        <v>1.0</v>
      </c>
      <c r="J201" s="20">
        <v>25.0</v>
      </c>
      <c r="K201" s="20">
        <v>30.0</v>
      </c>
      <c r="L201" s="20">
        <v>1.0</v>
      </c>
      <c r="M201" s="20">
        <v>32.5</v>
      </c>
      <c r="N201" s="20" t="e">
        <v>#REF!</v>
      </c>
      <c r="O201" s="7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>
      <c r="B202" s="16" t="s">
        <v>657</v>
      </c>
      <c r="C202" s="17"/>
      <c r="D202" s="19">
        <v>5.113636363636363</v>
      </c>
      <c r="E202" s="19">
        <v>37.93181818181818</v>
      </c>
      <c r="F202" s="19">
        <v>40.31818181818182</v>
      </c>
      <c r="G202" s="19">
        <v>6.7727272727272725</v>
      </c>
      <c r="H202" s="19">
        <v>1.3409090909090908</v>
      </c>
      <c r="I202" s="19">
        <v>1.8181818181818181</v>
      </c>
      <c r="J202" s="19">
        <v>32.25</v>
      </c>
      <c r="K202" s="19">
        <v>38.70454545454545</v>
      </c>
      <c r="L202" s="19">
        <v>3.159090909090909</v>
      </c>
      <c r="M202" s="19">
        <v>40.40909090909091</v>
      </c>
      <c r="N202" s="19" t="e">
        <v>#REF!</v>
      </c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</row>
    <row r="203">
      <c r="B203" s="7" t="s">
        <v>658</v>
      </c>
      <c r="C203" s="7"/>
      <c r="D203" s="20">
        <v>0.0</v>
      </c>
      <c r="E203" s="20">
        <v>1.0</v>
      </c>
      <c r="F203" s="20">
        <v>1.0</v>
      </c>
      <c r="G203" s="20">
        <v>0.0</v>
      </c>
      <c r="H203" s="20">
        <v>0.0</v>
      </c>
      <c r="I203" s="20">
        <v>0.0</v>
      </c>
      <c r="J203" s="20">
        <v>1.0</v>
      </c>
      <c r="K203" s="20">
        <v>2.0</v>
      </c>
      <c r="L203" s="20">
        <v>0.0</v>
      </c>
      <c r="M203" s="20">
        <v>0.0</v>
      </c>
      <c r="N203" s="20" t="e">
        <v>#REF!</v>
      </c>
      <c r="O203" s="7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>
      <c r="B204" s="7" t="s">
        <v>659</v>
      </c>
      <c r="C204" s="7"/>
      <c r="D204" s="20">
        <v>14.0</v>
      </c>
      <c r="E204" s="20">
        <v>139.0</v>
      </c>
      <c r="F204" s="20">
        <v>140.0</v>
      </c>
      <c r="G204" s="20">
        <v>18.0</v>
      </c>
      <c r="H204" s="20">
        <v>14.0</v>
      </c>
      <c r="I204" s="20">
        <v>10.0</v>
      </c>
      <c r="J204" s="20">
        <v>136.0</v>
      </c>
      <c r="K204" s="20">
        <v>139.0</v>
      </c>
      <c r="L204" s="20">
        <v>26.0</v>
      </c>
      <c r="M204" s="20">
        <v>139.0</v>
      </c>
      <c r="N204" s="20" t="e">
        <v>#REF!</v>
      </c>
      <c r="O204" s="7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>
      <c r="B205" s="16" t="s">
        <v>660</v>
      </c>
      <c r="C205" s="17"/>
      <c r="D205" s="19">
        <v>4.2602320555362985</v>
      </c>
      <c r="E205" s="19">
        <v>29.406056746213395</v>
      </c>
      <c r="F205" s="19">
        <v>28.72789158216925</v>
      </c>
      <c r="G205" s="19">
        <v>4.197804721759886</v>
      </c>
      <c r="H205" s="19">
        <v>2.429883544134362</v>
      </c>
      <c r="I205" s="19">
        <v>2.22326731356549</v>
      </c>
      <c r="J205" s="19">
        <v>26.69476475109453</v>
      </c>
      <c r="K205" s="19">
        <v>29.233287450052902</v>
      </c>
      <c r="L205" s="19">
        <v>5.78668552687047</v>
      </c>
      <c r="M205" s="19">
        <v>28.75179928187159</v>
      </c>
      <c r="N205" s="19" t="e">
        <v>#REF!</v>
      </c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</row>
    <row r="206">
      <c r="C206" s="10"/>
    </row>
    <row r="207">
      <c r="A207" s="11" t="s">
        <v>738</v>
      </c>
      <c r="B207" s="11" t="s">
        <v>661</v>
      </c>
      <c r="C207" s="7"/>
      <c r="D207" s="9">
        <v>5.0</v>
      </c>
      <c r="E207" s="9">
        <v>32.0</v>
      </c>
      <c r="F207" s="9">
        <v>44.0</v>
      </c>
      <c r="G207" s="9">
        <v>11.5</v>
      </c>
      <c r="H207" s="9">
        <v>3.5</v>
      </c>
      <c r="I207" s="9">
        <v>0.0</v>
      </c>
      <c r="J207" s="9">
        <v>33.0</v>
      </c>
      <c r="K207" s="9">
        <v>35.5</v>
      </c>
      <c r="L207" s="9">
        <v>3.5</v>
      </c>
      <c r="M207" s="9">
        <v>44.0</v>
      </c>
      <c r="N207" s="9" t="e">
        <v>#REF!</v>
      </c>
    </row>
    <row r="208">
      <c r="B208" s="23" t="s">
        <v>657</v>
      </c>
      <c r="C208" s="17"/>
      <c r="D208" s="19">
        <v>6.733333333333333</v>
      </c>
      <c r="E208" s="19">
        <v>37.733333333333334</v>
      </c>
      <c r="F208" s="19">
        <v>48.53333333333333</v>
      </c>
      <c r="G208" s="19">
        <v>12.066666666666666</v>
      </c>
      <c r="H208" s="19">
        <v>4.966666666666667</v>
      </c>
      <c r="I208" s="19">
        <v>1.0</v>
      </c>
      <c r="J208" s="19">
        <v>36.833333333333336</v>
      </c>
      <c r="K208" s="19">
        <v>40.36666666666667</v>
      </c>
      <c r="L208" s="19">
        <v>4.933333333333334</v>
      </c>
      <c r="M208" s="19">
        <v>47.93333333333333</v>
      </c>
      <c r="N208" s="19" t="e">
        <v>#REF!</v>
      </c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</row>
    <row r="209">
      <c r="B209" s="8" t="s">
        <v>658</v>
      </c>
      <c r="C209" s="7"/>
      <c r="D209" s="13">
        <v>0.0</v>
      </c>
      <c r="E209" s="13">
        <v>5.0</v>
      </c>
      <c r="F209" s="13">
        <v>10.0</v>
      </c>
      <c r="G209" s="13">
        <v>1.0</v>
      </c>
      <c r="H209" s="13">
        <v>0.0</v>
      </c>
      <c r="I209" s="13">
        <v>0.0</v>
      </c>
      <c r="J209" s="13">
        <v>5.0</v>
      </c>
      <c r="K209" s="13">
        <v>10.0</v>
      </c>
      <c r="L209" s="13">
        <v>0.0</v>
      </c>
      <c r="M209" s="13">
        <v>10.0</v>
      </c>
      <c r="N209" s="13" t="e">
        <v>#REF!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>
      <c r="B210" s="8" t="s">
        <v>659</v>
      </c>
      <c r="C210" s="7"/>
      <c r="D210" s="9">
        <v>18.0</v>
      </c>
      <c r="E210" s="9">
        <v>123.0</v>
      </c>
      <c r="F210" s="9">
        <v>126.0</v>
      </c>
      <c r="G210" s="9">
        <v>42.0</v>
      </c>
      <c r="H210" s="9">
        <v>22.0</v>
      </c>
      <c r="I210" s="9">
        <v>4.0</v>
      </c>
      <c r="J210" s="9">
        <v>120.0</v>
      </c>
      <c r="K210" s="9">
        <v>125.0</v>
      </c>
      <c r="L210" s="9">
        <v>34.0</v>
      </c>
      <c r="M210" s="9">
        <v>126.0</v>
      </c>
      <c r="N210" s="9" t="e">
        <v>#REF!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>
      <c r="B211" s="23" t="s">
        <v>660</v>
      </c>
      <c r="C211" s="17"/>
      <c r="D211" s="19">
        <v>5.558053078460884</v>
      </c>
      <c r="E211" s="19">
        <v>28.196274311643926</v>
      </c>
      <c r="F211" s="19">
        <v>28.867991262646417</v>
      </c>
      <c r="G211" s="19">
        <v>7.74121675071879</v>
      </c>
      <c r="H211" s="19">
        <v>5.288134625375186</v>
      </c>
      <c r="I211" s="19">
        <v>1.3130643285972254</v>
      </c>
      <c r="J211" s="19">
        <v>27.74897740686018</v>
      </c>
      <c r="K211" s="19">
        <v>28.513134702706974</v>
      </c>
      <c r="L211" s="19">
        <v>7.436783385741229</v>
      </c>
      <c r="M211" s="19">
        <v>29.52489695544905</v>
      </c>
      <c r="N211" s="19" t="e">
        <v>#REF!</v>
      </c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</row>
    <row r="212">
      <c r="B212" s="10"/>
    </row>
    <row r="213">
      <c r="B213" s="10"/>
    </row>
    <row r="214">
      <c r="B214" s="10"/>
    </row>
    <row r="215">
      <c r="A215" s="16"/>
      <c r="B215" s="17"/>
      <c r="C215" s="18">
        <v>53.0</v>
      </c>
      <c r="D215" s="18">
        <v>81.0</v>
      </c>
      <c r="E215" s="18">
        <v>81.0</v>
      </c>
      <c r="F215" s="18">
        <v>69.0</v>
      </c>
      <c r="G215" s="18">
        <v>11.0</v>
      </c>
      <c r="H215" s="18">
        <v>46.0</v>
      </c>
      <c r="I215" s="18">
        <v>80.0</v>
      </c>
      <c r="J215" s="18">
        <v>81.0</v>
      </c>
      <c r="K215" s="18">
        <v>44.0</v>
      </c>
      <c r="L215" s="18">
        <v>81.0</v>
      </c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</row>
    <row r="216">
      <c r="A216" s="16"/>
      <c r="B216" s="17"/>
      <c r="C216" s="18">
        <v>39.0</v>
      </c>
      <c r="D216" s="18">
        <v>44.0</v>
      </c>
      <c r="E216" s="18">
        <v>44.0</v>
      </c>
      <c r="F216" s="18">
        <v>42.0</v>
      </c>
      <c r="G216" s="18">
        <v>23.0</v>
      </c>
      <c r="H216" s="18">
        <v>29.0</v>
      </c>
      <c r="I216" s="18">
        <v>44.0</v>
      </c>
      <c r="J216" s="18">
        <v>44.0</v>
      </c>
      <c r="K216" s="18">
        <v>26.0</v>
      </c>
      <c r="L216" s="18">
        <v>43.0</v>
      </c>
      <c r="M216" s="19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</row>
    <row r="217">
      <c r="A217" s="24"/>
      <c r="B217" s="17"/>
      <c r="C217" s="25">
        <v>25.0</v>
      </c>
      <c r="D217" s="25">
        <v>30.0</v>
      </c>
      <c r="E217" s="25">
        <v>30.0</v>
      </c>
      <c r="F217" s="25">
        <v>30.0</v>
      </c>
      <c r="G217" s="25">
        <v>25.0</v>
      </c>
      <c r="H217" s="25">
        <v>14.0</v>
      </c>
      <c r="I217" s="25">
        <v>30.0</v>
      </c>
      <c r="J217" s="25">
        <v>30.0</v>
      </c>
      <c r="K217" s="25">
        <v>21.0</v>
      </c>
      <c r="L217" s="25">
        <v>30.0</v>
      </c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</row>
    <row r="218">
      <c r="B218" s="10"/>
      <c r="C218" s="26">
        <f t="shared" ref="C218:L218" si="19">sum(C215:C217)</f>
        <v>117</v>
      </c>
      <c r="D218" s="26">
        <f t="shared" si="19"/>
        <v>155</v>
      </c>
      <c r="E218" s="26">
        <f t="shared" si="19"/>
        <v>155</v>
      </c>
      <c r="F218" s="26">
        <f t="shared" si="19"/>
        <v>141</v>
      </c>
      <c r="G218" s="26">
        <f t="shared" si="19"/>
        <v>59</v>
      </c>
      <c r="H218" s="26">
        <f t="shared" si="19"/>
        <v>89</v>
      </c>
      <c r="I218" s="26">
        <f t="shared" si="19"/>
        <v>154</v>
      </c>
      <c r="J218" s="26">
        <f t="shared" si="19"/>
        <v>155</v>
      </c>
      <c r="K218" s="26">
        <f t="shared" si="19"/>
        <v>91</v>
      </c>
      <c r="L218" s="26">
        <f t="shared" si="19"/>
        <v>154</v>
      </c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496</v>
      </c>
      <c r="B1" s="10" t="s">
        <v>497</v>
      </c>
      <c r="C1" s="10" t="s">
        <v>739</v>
      </c>
      <c r="D1" s="10" t="s">
        <v>47</v>
      </c>
      <c r="E1" s="10" t="s">
        <v>69</v>
      </c>
      <c r="F1" s="10" t="s">
        <v>86</v>
      </c>
      <c r="G1" s="10" t="s">
        <v>89</v>
      </c>
      <c r="H1" s="10" t="s">
        <v>108</v>
      </c>
      <c r="I1" s="10" t="s">
        <v>116</v>
      </c>
      <c r="J1" s="10" t="s">
        <v>128</v>
      </c>
      <c r="K1" s="10" t="s">
        <v>145</v>
      </c>
      <c r="L1" s="10" t="s">
        <v>157</v>
      </c>
      <c r="M1" s="10" t="s">
        <v>169</v>
      </c>
      <c r="N1" s="8" t="s">
        <v>740</v>
      </c>
      <c r="O1" s="10" t="s">
        <v>499</v>
      </c>
      <c r="P1" s="10" t="s">
        <v>499</v>
      </c>
      <c r="Q1" s="10"/>
      <c r="R1" s="27" t="s">
        <v>496</v>
      </c>
      <c r="S1" s="27" t="s">
        <v>497</v>
      </c>
      <c r="T1" s="27" t="s">
        <v>739</v>
      </c>
      <c r="U1" s="27" t="s">
        <v>47</v>
      </c>
      <c r="V1" s="27" t="s">
        <v>69</v>
      </c>
      <c r="W1" s="27" t="s">
        <v>86</v>
      </c>
      <c r="X1" s="27" t="s">
        <v>89</v>
      </c>
      <c r="Y1" s="27" t="s">
        <v>108</v>
      </c>
      <c r="Z1" s="27" t="s">
        <v>116</v>
      </c>
      <c r="AA1" s="27" t="s">
        <v>128</v>
      </c>
      <c r="AB1" s="27" t="s">
        <v>145</v>
      </c>
      <c r="AC1" s="27" t="s">
        <v>157</v>
      </c>
      <c r="AD1" s="27" t="s">
        <v>169</v>
      </c>
      <c r="AE1" s="28" t="s">
        <v>741</v>
      </c>
      <c r="AF1" s="27" t="s">
        <v>499</v>
      </c>
      <c r="AG1" s="27" t="s">
        <v>499</v>
      </c>
      <c r="AH1" s="10"/>
      <c r="AI1" s="10" t="s">
        <v>496</v>
      </c>
      <c r="AJ1" s="10" t="s">
        <v>497</v>
      </c>
      <c r="AK1" s="10" t="s">
        <v>739</v>
      </c>
      <c r="AL1" s="10" t="s">
        <v>47</v>
      </c>
      <c r="AM1" s="10" t="s">
        <v>69</v>
      </c>
      <c r="AN1" s="10" t="s">
        <v>86</v>
      </c>
      <c r="AO1" s="10" t="s">
        <v>89</v>
      </c>
      <c r="AP1" s="10" t="s">
        <v>108</v>
      </c>
      <c r="AQ1" s="10" t="s">
        <v>116</v>
      </c>
      <c r="AR1" s="10" t="s">
        <v>128</v>
      </c>
      <c r="AS1" s="10" t="s">
        <v>145</v>
      </c>
      <c r="AT1" s="10" t="s">
        <v>157</v>
      </c>
      <c r="AU1" s="10" t="s">
        <v>169</v>
      </c>
      <c r="AV1" s="8" t="s">
        <v>742</v>
      </c>
      <c r="AW1" s="10" t="s">
        <v>499</v>
      </c>
      <c r="AX1" s="10" t="s">
        <v>499</v>
      </c>
    </row>
    <row r="2">
      <c r="A2" s="10" t="s">
        <v>25</v>
      </c>
      <c r="B2" s="10" t="s">
        <v>743</v>
      </c>
      <c r="C2" s="29">
        <v>41902.0</v>
      </c>
      <c r="D2" s="13">
        <v>0.0</v>
      </c>
      <c r="E2" s="13">
        <v>1.0</v>
      </c>
      <c r="F2" s="13">
        <v>1.0</v>
      </c>
      <c r="G2" s="13">
        <v>0.0</v>
      </c>
      <c r="H2" s="13">
        <v>0.0</v>
      </c>
      <c r="I2" s="13">
        <v>0.0</v>
      </c>
      <c r="J2" s="13">
        <v>1.0</v>
      </c>
      <c r="K2" s="13">
        <v>1.0</v>
      </c>
      <c r="L2" s="13">
        <v>0.0</v>
      </c>
      <c r="M2" s="13">
        <v>1.0</v>
      </c>
      <c r="N2" s="13">
        <v>5.0</v>
      </c>
      <c r="O2" s="13">
        <v>107.0</v>
      </c>
      <c r="P2" s="13">
        <v>107.0</v>
      </c>
      <c r="Q2" s="10"/>
      <c r="R2" s="27" t="s">
        <v>36</v>
      </c>
      <c r="S2" s="27" t="s">
        <v>744</v>
      </c>
      <c r="T2" s="30">
        <v>42057.0</v>
      </c>
      <c r="U2" s="31">
        <v>1.0</v>
      </c>
      <c r="V2" s="31">
        <v>1.0</v>
      </c>
      <c r="W2" s="31">
        <v>1.0</v>
      </c>
      <c r="X2" s="31">
        <v>1.0</v>
      </c>
      <c r="Y2" s="31">
        <v>0.0</v>
      </c>
      <c r="Z2" s="31">
        <v>0.0</v>
      </c>
      <c r="AA2" s="31">
        <v>1.0</v>
      </c>
      <c r="AB2" s="31">
        <v>1.0</v>
      </c>
      <c r="AC2" s="31">
        <v>0.0</v>
      </c>
      <c r="AD2" s="31">
        <v>1.0</v>
      </c>
      <c r="AE2" s="31">
        <v>7.0</v>
      </c>
      <c r="AF2" s="31">
        <v>17.0</v>
      </c>
      <c r="AG2" s="31">
        <v>17.0</v>
      </c>
      <c r="AH2" s="13"/>
      <c r="AI2" s="10" t="s">
        <v>42</v>
      </c>
      <c r="AJ2" s="10" t="s">
        <v>745</v>
      </c>
      <c r="AK2" s="29">
        <v>42516.0</v>
      </c>
      <c r="AL2" s="13">
        <v>0.0</v>
      </c>
      <c r="AM2" s="13">
        <v>0.0</v>
      </c>
      <c r="AN2" s="13">
        <v>1.0</v>
      </c>
      <c r="AO2" s="13">
        <v>1.0</v>
      </c>
      <c r="AP2" s="13">
        <v>0.0</v>
      </c>
      <c r="AQ2" s="13">
        <v>0.0</v>
      </c>
      <c r="AR2" s="13">
        <v>0.0</v>
      </c>
      <c r="AS2" s="13">
        <v>0.0</v>
      </c>
      <c r="AT2" s="13">
        <v>0.0</v>
      </c>
      <c r="AU2" s="13">
        <v>1.0</v>
      </c>
      <c r="AV2" s="13">
        <v>3.0</v>
      </c>
      <c r="AW2" s="13">
        <v>23.0</v>
      </c>
      <c r="AX2" s="13">
        <v>23.0</v>
      </c>
    </row>
    <row r="3">
      <c r="A3" s="10" t="s">
        <v>25</v>
      </c>
      <c r="B3" s="10" t="s">
        <v>746</v>
      </c>
      <c r="C3" s="29">
        <v>41910.0</v>
      </c>
      <c r="D3" s="13">
        <v>0.0</v>
      </c>
      <c r="E3" s="13">
        <v>1.0</v>
      </c>
      <c r="F3" s="13">
        <v>1.0</v>
      </c>
      <c r="G3" s="13">
        <v>0.0</v>
      </c>
      <c r="H3" s="13">
        <v>0.0</v>
      </c>
      <c r="I3" s="13">
        <v>0.0</v>
      </c>
      <c r="J3" s="13">
        <v>1.0</v>
      </c>
      <c r="K3" s="13">
        <v>1.0</v>
      </c>
      <c r="L3" s="13">
        <v>0.0</v>
      </c>
      <c r="M3" s="13">
        <v>1.0</v>
      </c>
      <c r="N3" s="13">
        <v>5.0</v>
      </c>
      <c r="O3" s="13">
        <v>107.0</v>
      </c>
      <c r="P3" s="13">
        <v>107.0</v>
      </c>
      <c r="Q3" s="10"/>
      <c r="R3" s="27" t="s">
        <v>36</v>
      </c>
      <c r="S3" s="27" t="s">
        <v>747</v>
      </c>
      <c r="T3" s="30">
        <v>42125.0</v>
      </c>
      <c r="U3" s="31">
        <v>0.0</v>
      </c>
      <c r="V3" s="31">
        <v>1.0</v>
      </c>
      <c r="W3" s="31">
        <v>1.0</v>
      </c>
      <c r="X3" s="31">
        <v>0.0</v>
      </c>
      <c r="Y3" s="31">
        <v>0.0</v>
      </c>
      <c r="Z3" s="31">
        <v>0.0</v>
      </c>
      <c r="AA3" s="31">
        <v>0.0</v>
      </c>
      <c r="AB3" s="31">
        <v>1.0</v>
      </c>
      <c r="AC3" s="31">
        <v>0.0</v>
      </c>
      <c r="AD3" s="31">
        <v>1.0</v>
      </c>
      <c r="AE3" s="31">
        <v>4.0</v>
      </c>
      <c r="AF3" s="31">
        <v>13.0</v>
      </c>
      <c r="AG3" s="31">
        <v>13.0</v>
      </c>
      <c r="AH3" s="13"/>
      <c r="AI3" s="10" t="s">
        <v>42</v>
      </c>
      <c r="AJ3" s="10" t="s">
        <v>748</v>
      </c>
      <c r="AK3" s="29">
        <v>42732.0</v>
      </c>
      <c r="AL3" s="13">
        <v>1.0</v>
      </c>
      <c r="AM3" s="13">
        <v>0.0</v>
      </c>
      <c r="AN3" s="13">
        <v>1.0</v>
      </c>
      <c r="AO3" s="13">
        <v>0.0</v>
      </c>
      <c r="AP3" s="13">
        <v>0.0</v>
      </c>
      <c r="AQ3" s="13">
        <v>0.0</v>
      </c>
      <c r="AR3" s="13">
        <v>1.0</v>
      </c>
      <c r="AS3" s="13">
        <v>0.0</v>
      </c>
      <c r="AT3" s="13">
        <v>1.0</v>
      </c>
      <c r="AU3" s="13">
        <v>0.0</v>
      </c>
      <c r="AV3" s="13">
        <v>4.0</v>
      </c>
      <c r="AW3" s="13">
        <v>55.0</v>
      </c>
      <c r="AX3" s="13">
        <v>55.0</v>
      </c>
    </row>
    <row r="4">
      <c r="A4" s="10" t="s">
        <v>25</v>
      </c>
      <c r="B4" s="10" t="s">
        <v>749</v>
      </c>
      <c r="C4" s="29">
        <v>41933.0</v>
      </c>
      <c r="D4" s="13">
        <v>0.0</v>
      </c>
      <c r="E4" s="13">
        <v>1.0</v>
      </c>
      <c r="F4" s="13">
        <v>1.0</v>
      </c>
      <c r="G4" s="13">
        <v>0.0</v>
      </c>
      <c r="H4" s="13">
        <v>0.0</v>
      </c>
      <c r="I4" s="13">
        <v>0.0</v>
      </c>
      <c r="J4" s="13">
        <v>1.0</v>
      </c>
      <c r="K4" s="13">
        <v>1.0</v>
      </c>
      <c r="L4" s="13">
        <v>0.0</v>
      </c>
      <c r="M4" s="13">
        <v>1.0</v>
      </c>
      <c r="N4" s="13">
        <v>5.0</v>
      </c>
      <c r="O4" s="13">
        <v>107.0</v>
      </c>
      <c r="P4" s="13">
        <v>107.0</v>
      </c>
      <c r="Q4" s="10"/>
      <c r="R4" s="27" t="s">
        <v>36</v>
      </c>
      <c r="S4" s="27" t="s">
        <v>750</v>
      </c>
      <c r="T4" s="30">
        <v>42127.0</v>
      </c>
      <c r="U4" s="31">
        <v>0.0</v>
      </c>
      <c r="V4" s="31">
        <v>1.0</v>
      </c>
      <c r="W4" s="31">
        <v>1.0</v>
      </c>
      <c r="X4" s="31">
        <v>0.0</v>
      </c>
      <c r="Y4" s="31">
        <v>0.0</v>
      </c>
      <c r="Z4" s="31">
        <v>0.0</v>
      </c>
      <c r="AA4" s="31">
        <v>1.0</v>
      </c>
      <c r="AB4" s="31">
        <v>1.0</v>
      </c>
      <c r="AC4" s="31">
        <v>0.0</v>
      </c>
      <c r="AD4" s="31">
        <v>1.0</v>
      </c>
      <c r="AE4" s="31">
        <v>5.0</v>
      </c>
      <c r="AF4" s="31">
        <v>18.0</v>
      </c>
      <c r="AG4" s="31">
        <v>18.0</v>
      </c>
      <c r="AH4" s="13"/>
      <c r="AI4" s="10" t="s">
        <v>42</v>
      </c>
      <c r="AJ4" s="10" t="s">
        <v>751</v>
      </c>
      <c r="AK4" s="29">
        <v>42757.0</v>
      </c>
      <c r="AL4" s="13">
        <v>0.0</v>
      </c>
      <c r="AM4" s="13">
        <v>0.0</v>
      </c>
      <c r="AN4" s="13">
        <v>1.0</v>
      </c>
      <c r="AO4" s="13">
        <v>1.0</v>
      </c>
      <c r="AP4" s="13">
        <v>0.0</v>
      </c>
      <c r="AQ4" s="13">
        <v>0.0</v>
      </c>
      <c r="AR4" s="13">
        <v>0.0</v>
      </c>
      <c r="AS4" s="13">
        <v>0.0</v>
      </c>
      <c r="AT4" s="13">
        <v>0.0</v>
      </c>
      <c r="AU4" s="13">
        <v>1.0</v>
      </c>
      <c r="AV4" s="13">
        <v>3.0</v>
      </c>
      <c r="AW4" s="13">
        <v>66.0</v>
      </c>
      <c r="AX4" s="13">
        <v>66.0</v>
      </c>
    </row>
    <row r="5">
      <c r="A5" s="10" t="s">
        <v>25</v>
      </c>
      <c r="B5" s="10" t="s">
        <v>752</v>
      </c>
      <c r="C5" s="29">
        <v>41966.0</v>
      </c>
      <c r="D5" s="13">
        <v>0.0</v>
      </c>
      <c r="E5" s="13">
        <v>1.0</v>
      </c>
      <c r="F5" s="13">
        <v>1.0</v>
      </c>
      <c r="G5" s="13">
        <v>0.0</v>
      </c>
      <c r="H5" s="13">
        <v>0.0</v>
      </c>
      <c r="I5" s="13">
        <v>0.0</v>
      </c>
      <c r="J5" s="13">
        <v>1.0</v>
      </c>
      <c r="K5" s="13">
        <v>1.0</v>
      </c>
      <c r="L5" s="13">
        <v>0.0</v>
      </c>
      <c r="M5" s="13">
        <v>1.0</v>
      </c>
      <c r="N5" s="13">
        <v>5.0</v>
      </c>
      <c r="O5" s="13">
        <v>107.0</v>
      </c>
      <c r="P5" s="13">
        <v>107.0</v>
      </c>
      <c r="Q5" s="10"/>
      <c r="R5" s="27" t="s">
        <v>36</v>
      </c>
      <c r="S5" s="27" t="s">
        <v>746</v>
      </c>
      <c r="T5" s="30">
        <v>42134.0</v>
      </c>
      <c r="U5" s="31">
        <v>0.0</v>
      </c>
      <c r="V5" s="31">
        <v>1.0</v>
      </c>
      <c r="W5" s="31">
        <v>1.0</v>
      </c>
      <c r="X5" s="31">
        <v>0.0</v>
      </c>
      <c r="Y5" s="31">
        <v>0.0</v>
      </c>
      <c r="Z5" s="31">
        <v>0.0</v>
      </c>
      <c r="AA5" s="31">
        <v>0.0</v>
      </c>
      <c r="AB5" s="31">
        <v>1.0</v>
      </c>
      <c r="AC5" s="31">
        <v>0.0</v>
      </c>
      <c r="AD5" s="31">
        <v>1.0</v>
      </c>
      <c r="AE5" s="31">
        <v>4.0</v>
      </c>
      <c r="AF5" s="31">
        <v>20.0</v>
      </c>
      <c r="AG5" s="31">
        <v>20.0</v>
      </c>
      <c r="AH5" s="13"/>
      <c r="AI5" s="10" t="s">
        <v>42</v>
      </c>
      <c r="AJ5" s="10" t="s">
        <v>753</v>
      </c>
      <c r="AK5" s="29">
        <v>42857.0</v>
      </c>
      <c r="AL5" s="13">
        <v>0.0</v>
      </c>
      <c r="AM5" s="13">
        <v>1.0</v>
      </c>
      <c r="AN5" s="13">
        <v>1.0</v>
      </c>
      <c r="AO5" s="13">
        <v>0.0</v>
      </c>
      <c r="AP5" s="13">
        <v>0.0</v>
      </c>
      <c r="AQ5" s="13">
        <v>0.0</v>
      </c>
      <c r="AR5" s="13">
        <v>1.0</v>
      </c>
      <c r="AS5" s="13">
        <v>1.0</v>
      </c>
      <c r="AT5" s="13">
        <v>0.0</v>
      </c>
      <c r="AU5" s="13">
        <v>1.0</v>
      </c>
      <c r="AV5" s="13">
        <v>5.0</v>
      </c>
      <c r="AW5" s="13">
        <v>69.0</v>
      </c>
      <c r="AX5" s="13">
        <v>69.0</v>
      </c>
    </row>
    <row r="6">
      <c r="A6" s="10" t="s">
        <v>25</v>
      </c>
      <c r="B6" s="10" t="s">
        <v>754</v>
      </c>
      <c r="C6" s="29">
        <v>42025.0</v>
      </c>
      <c r="D6" s="13">
        <v>0.0</v>
      </c>
      <c r="E6" s="13">
        <v>1.0</v>
      </c>
      <c r="F6" s="13">
        <v>1.0</v>
      </c>
      <c r="G6" s="13">
        <v>0.0</v>
      </c>
      <c r="H6" s="13">
        <v>0.0</v>
      </c>
      <c r="I6" s="13">
        <v>0.0</v>
      </c>
      <c r="J6" s="13">
        <v>1.0</v>
      </c>
      <c r="K6" s="13">
        <v>1.0</v>
      </c>
      <c r="L6" s="13">
        <v>0.0</v>
      </c>
      <c r="M6" s="13">
        <v>1.0</v>
      </c>
      <c r="N6" s="13">
        <v>5.0</v>
      </c>
      <c r="O6" s="13">
        <v>107.0</v>
      </c>
      <c r="P6" s="13">
        <v>107.0</v>
      </c>
      <c r="Q6" s="10"/>
      <c r="R6" s="27" t="s">
        <v>36</v>
      </c>
      <c r="S6" s="27" t="s">
        <v>500</v>
      </c>
      <c r="T6" s="30">
        <v>42143.0</v>
      </c>
      <c r="U6" s="31">
        <v>0.0</v>
      </c>
      <c r="V6" s="31">
        <v>1.0</v>
      </c>
      <c r="W6" s="31">
        <v>1.0</v>
      </c>
      <c r="X6" s="31">
        <v>0.0</v>
      </c>
      <c r="Y6" s="31">
        <v>0.0</v>
      </c>
      <c r="Z6" s="31">
        <v>0.0</v>
      </c>
      <c r="AA6" s="31">
        <v>0.0</v>
      </c>
      <c r="AB6" s="31">
        <v>1.0</v>
      </c>
      <c r="AC6" s="31">
        <v>0.0</v>
      </c>
      <c r="AD6" s="31">
        <v>1.0</v>
      </c>
      <c r="AE6" s="31">
        <v>4.0</v>
      </c>
      <c r="AF6" s="31">
        <v>24.0</v>
      </c>
      <c r="AG6" s="31">
        <v>24.0</v>
      </c>
      <c r="AH6" s="13"/>
      <c r="AI6" s="10" t="s">
        <v>42</v>
      </c>
      <c r="AJ6" s="10" t="s">
        <v>755</v>
      </c>
      <c r="AK6" s="29">
        <v>42881.0</v>
      </c>
      <c r="AL6" s="13">
        <v>0.0</v>
      </c>
      <c r="AM6" s="13">
        <v>0.0</v>
      </c>
      <c r="AN6" s="13">
        <v>1.0</v>
      </c>
      <c r="AO6" s="13">
        <v>1.0</v>
      </c>
      <c r="AP6" s="13">
        <v>0.0</v>
      </c>
      <c r="AQ6" s="13">
        <v>0.0</v>
      </c>
      <c r="AR6" s="13">
        <v>0.0</v>
      </c>
      <c r="AS6" s="13">
        <v>0.0</v>
      </c>
      <c r="AT6" s="13">
        <v>1.0</v>
      </c>
      <c r="AU6" s="13">
        <v>1.0</v>
      </c>
      <c r="AV6" s="13">
        <v>4.0</v>
      </c>
      <c r="AW6" s="13">
        <v>69.0</v>
      </c>
      <c r="AX6" s="13">
        <v>69.0</v>
      </c>
    </row>
    <row r="7">
      <c r="A7" s="10" t="s">
        <v>25</v>
      </c>
      <c r="B7" s="10" t="s">
        <v>756</v>
      </c>
      <c r="C7" s="29">
        <v>42030.0</v>
      </c>
      <c r="D7" s="13">
        <v>0.0</v>
      </c>
      <c r="E7" s="13">
        <v>1.0</v>
      </c>
      <c r="F7" s="13">
        <v>1.0</v>
      </c>
      <c r="G7" s="13">
        <v>0.0</v>
      </c>
      <c r="H7" s="13">
        <v>0.0</v>
      </c>
      <c r="I7" s="13">
        <v>0.0</v>
      </c>
      <c r="J7" s="13">
        <v>1.0</v>
      </c>
      <c r="K7" s="13">
        <v>1.0</v>
      </c>
      <c r="L7" s="13">
        <v>0.0</v>
      </c>
      <c r="M7" s="13">
        <v>1.0</v>
      </c>
      <c r="N7" s="13">
        <v>5.0</v>
      </c>
      <c r="O7" s="13">
        <v>107.0</v>
      </c>
      <c r="P7" s="13">
        <v>107.0</v>
      </c>
      <c r="Q7" s="10"/>
      <c r="R7" s="27" t="s">
        <v>36</v>
      </c>
      <c r="S7" s="27" t="s">
        <v>501</v>
      </c>
      <c r="T7" s="30">
        <v>42153.0</v>
      </c>
      <c r="U7" s="31">
        <v>0.0</v>
      </c>
      <c r="V7" s="31">
        <v>0.0</v>
      </c>
      <c r="W7" s="31">
        <v>1.0</v>
      </c>
      <c r="X7" s="31">
        <v>1.0</v>
      </c>
      <c r="Y7" s="31">
        <v>1.0</v>
      </c>
      <c r="Z7" s="31">
        <v>0.0</v>
      </c>
      <c r="AA7" s="31">
        <v>0.0</v>
      </c>
      <c r="AB7" s="31">
        <v>0.0</v>
      </c>
      <c r="AC7" s="31">
        <v>1.0</v>
      </c>
      <c r="AD7" s="31">
        <v>1.0</v>
      </c>
      <c r="AE7" s="31">
        <v>5.0</v>
      </c>
      <c r="AF7" s="31">
        <v>26.0</v>
      </c>
      <c r="AG7" s="31">
        <v>26.0</v>
      </c>
      <c r="AH7" s="13"/>
      <c r="AI7" s="10" t="s">
        <v>42</v>
      </c>
      <c r="AJ7" s="10" t="s">
        <v>757</v>
      </c>
      <c r="AK7" s="29">
        <v>42983.0</v>
      </c>
      <c r="AL7" s="13">
        <v>0.0</v>
      </c>
      <c r="AM7" s="13">
        <v>0.0</v>
      </c>
      <c r="AN7" s="13">
        <v>1.0</v>
      </c>
      <c r="AO7" s="13">
        <v>0.0</v>
      </c>
      <c r="AP7" s="13">
        <v>0.0</v>
      </c>
      <c r="AQ7" s="13">
        <v>0.0</v>
      </c>
      <c r="AR7" s="13">
        <v>0.0</v>
      </c>
      <c r="AS7" s="13">
        <v>0.0</v>
      </c>
      <c r="AT7" s="13">
        <v>0.0</v>
      </c>
      <c r="AU7" s="13">
        <v>1.0</v>
      </c>
      <c r="AV7" s="13">
        <v>2.0</v>
      </c>
      <c r="AW7" s="13">
        <v>77.0</v>
      </c>
      <c r="AX7" s="13">
        <v>77.0</v>
      </c>
    </row>
    <row r="8">
      <c r="A8" s="10" t="s">
        <v>25</v>
      </c>
      <c r="B8" s="10" t="s">
        <v>758</v>
      </c>
      <c r="C8" s="29">
        <v>42050.0</v>
      </c>
      <c r="D8" s="13">
        <v>0.0</v>
      </c>
      <c r="E8" s="13">
        <v>1.0</v>
      </c>
      <c r="F8" s="13">
        <v>1.0</v>
      </c>
      <c r="G8" s="13">
        <v>0.0</v>
      </c>
      <c r="H8" s="13">
        <v>0.0</v>
      </c>
      <c r="I8" s="13">
        <v>0.0</v>
      </c>
      <c r="J8" s="13">
        <v>1.0</v>
      </c>
      <c r="K8" s="13">
        <v>1.0</v>
      </c>
      <c r="L8" s="13">
        <v>0.0</v>
      </c>
      <c r="M8" s="13">
        <v>1.0</v>
      </c>
      <c r="N8" s="13">
        <v>5.0</v>
      </c>
      <c r="O8" s="13">
        <v>107.0</v>
      </c>
      <c r="P8" s="13">
        <v>107.0</v>
      </c>
      <c r="Q8" s="10"/>
      <c r="R8" s="27" t="s">
        <v>36</v>
      </c>
      <c r="S8" s="27" t="s">
        <v>502</v>
      </c>
      <c r="T8" s="30">
        <v>42789.0</v>
      </c>
      <c r="U8" s="31">
        <v>0.0</v>
      </c>
      <c r="V8" s="31">
        <v>1.0</v>
      </c>
      <c r="W8" s="31">
        <v>1.0</v>
      </c>
      <c r="X8" s="31">
        <v>0.0</v>
      </c>
      <c r="Y8" s="31">
        <v>0.0</v>
      </c>
      <c r="Z8" s="31">
        <v>0.0</v>
      </c>
      <c r="AA8" s="31">
        <v>1.0</v>
      </c>
      <c r="AB8" s="31">
        <v>1.0</v>
      </c>
      <c r="AC8" s="31">
        <v>1.0</v>
      </c>
      <c r="AD8" s="31">
        <v>1.0</v>
      </c>
      <c r="AE8" s="31">
        <v>6.0</v>
      </c>
      <c r="AF8" s="31">
        <v>19.0</v>
      </c>
      <c r="AG8" s="31">
        <v>19.0</v>
      </c>
      <c r="AH8" s="13"/>
      <c r="AI8" s="10" t="s">
        <v>42</v>
      </c>
      <c r="AJ8" s="10" t="s">
        <v>759</v>
      </c>
      <c r="AK8" s="29">
        <v>43038.0</v>
      </c>
      <c r="AL8" s="13">
        <v>0.0</v>
      </c>
      <c r="AM8" s="13">
        <v>1.0</v>
      </c>
      <c r="AN8" s="13">
        <v>1.0</v>
      </c>
      <c r="AO8" s="13">
        <v>0.0</v>
      </c>
      <c r="AP8" s="13">
        <v>0.0</v>
      </c>
      <c r="AQ8" s="13">
        <v>0.0</v>
      </c>
      <c r="AR8" s="13">
        <v>1.0</v>
      </c>
      <c r="AS8" s="13">
        <v>1.0</v>
      </c>
      <c r="AT8" s="13">
        <v>0.0</v>
      </c>
      <c r="AU8" s="13">
        <v>1.0</v>
      </c>
      <c r="AV8" s="13">
        <v>5.0</v>
      </c>
      <c r="AW8" s="13">
        <v>86.0</v>
      </c>
      <c r="AX8" s="13">
        <v>86.0</v>
      </c>
    </row>
    <row r="9">
      <c r="A9" s="10" t="s">
        <v>25</v>
      </c>
      <c r="B9" s="10" t="s">
        <v>760</v>
      </c>
      <c r="C9" s="29">
        <v>42056.0</v>
      </c>
      <c r="D9" s="13">
        <v>0.0</v>
      </c>
      <c r="E9" s="13">
        <v>1.0</v>
      </c>
      <c r="F9" s="13">
        <v>1.0</v>
      </c>
      <c r="G9" s="13">
        <v>0.0</v>
      </c>
      <c r="H9" s="13">
        <v>0.0</v>
      </c>
      <c r="I9" s="13">
        <v>0.0</v>
      </c>
      <c r="J9" s="13">
        <v>1.0</v>
      </c>
      <c r="K9" s="13">
        <v>1.0</v>
      </c>
      <c r="L9" s="13">
        <v>0.0</v>
      </c>
      <c r="M9" s="13">
        <v>1.0</v>
      </c>
      <c r="N9" s="13">
        <v>5.0</v>
      </c>
      <c r="O9" s="13">
        <v>107.0</v>
      </c>
      <c r="P9" s="13">
        <v>107.0</v>
      </c>
      <c r="Q9" s="10"/>
      <c r="R9" s="27" t="s">
        <v>36</v>
      </c>
      <c r="S9" s="27" t="s">
        <v>503</v>
      </c>
      <c r="T9" s="30">
        <v>42827.0</v>
      </c>
      <c r="U9" s="31">
        <v>0.0</v>
      </c>
      <c r="V9" s="31">
        <v>1.0</v>
      </c>
      <c r="W9" s="31">
        <v>1.0</v>
      </c>
      <c r="X9" s="31">
        <v>0.0</v>
      </c>
      <c r="Y9" s="31">
        <v>0.0</v>
      </c>
      <c r="Z9" s="31">
        <v>0.0</v>
      </c>
      <c r="AA9" s="31">
        <v>1.0</v>
      </c>
      <c r="AB9" s="31">
        <v>1.0</v>
      </c>
      <c r="AC9" s="31">
        <v>0.0</v>
      </c>
      <c r="AD9" s="31">
        <v>1.0</v>
      </c>
      <c r="AE9" s="31">
        <v>5.0</v>
      </c>
      <c r="AF9" s="31">
        <v>19.0</v>
      </c>
      <c r="AG9" s="31">
        <v>19.0</v>
      </c>
      <c r="AH9" s="13"/>
      <c r="AI9" s="10" t="s">
        <v>42</v>
      </c>
      <c r="AJ9" s="10" t="s">
        <v>761</v>
      </c>
      <c r="AK9" s="29">
        <v>43054.0</v>
      </c>
      <c r="AL9" s="13">
        <v>0.0</v>
      </c>
      <c r="AM9" s="13">
        <v>1.0</v>
      </c>
      <c r="AN9" s="13">
        <v>1.0</v>
      </c>
      <c r="AO9" s="13">
        <v>0.0</v>
      </c>
      <c r="AP9" s="13">
        <v>0.0</v>
      </c>
      <c r="AQ9" s="13">
        <v>0.0</v>
      </c>
      <c r="AR9" s="13">
        <v>1.0</v>
      </c>
      <c r="AS9" s="13">
        <v>1.0</v>
      </c>
      <c r="AT9" s="13">
        <v>0.0</v>
      </c>
      <c r="AU9" s="13">
        <v>1.0</v>
      </c>
      <c r="AV9" s="13">
        <v>5.0</v>
      </c>
      <c r="AW9" s="13">
        <v>86.0</v>
      </c>
      <c r="AX9" s="13">
        <v>86.0</v>
      </c>
    </row>
    <row r="10">
      <c r="A10" s="10" t="s">
        <v>25</v>
      </c>
      <c r="B10" s="10" t="s">
        <v>762</v>
      </c>
      <c r="C10" s="29">
        <v>42069.0</v>
      </c>
      <c r="D10" s="13">
        <v>0.0</v>
      </c>
      <c r="E10" s="13">
        <v>1.0</v>
      </c>
      <c r="F10" s="13">
        <v>1.0</v>
      </c>
      <c r="G10" s="13">
        <v>0.0</v>
      </c>
      <c r="H10" s="13">
        <v>0.0</v>
      </c>
      <c r="I10" s="13">
        <v>0.0</v>
      </c>
      <c r="J10" s="13">
        <v>1.0</v>
      </c>
      <c r="K10" s="13">
        <v>1.0</v>
      </c>
      <c r="L10" s="13">
        <v>0.0</v>
      </c>
      <c r="M10" s="13">
        <v>1.0</v>
      </c>
      <c r="N10" s="13">
        <v>5.0</v>
      </c>
      <c r="O10" s="13">
        <v>107.0</v>
      </c>
      <c r="P10" s="13">
        <v>107.0</v>
      </c>
      <c r="Q10" s="10"/>
      <c r="R10" s="27" t="s">
        <v>36</v>
      </c>
      <c r="S10" s="27" t="s">
        <v>504</v>
      </c>
      <c r="T10" s="30">
        <v>42829.0</v>
      </c>
      <c r="U10" s="31">
        <v>0.0</v>
      </c>
      <c r="V10" s="31">
        <v>1.0</v>
      </c>
      <c r="W10" s="31">
        <v>1.0</v>
      </c>
      <c r="X10" s="31">
        <v>0.0</v>
      </c>
      <c r="Y10" s="31">
        <v>0.0</v>
      </c>
      <c r="Z10" s="31">
        <v>0.0</v>
      </c>
      <c r="AA10" s="31">
        <v>1.0</v>
      </c>
      <c r="AB10" s="31">
        <v>1.0</v>
      </c>
      <c r="AC10" s="31">
        <v>0.0</v>
      </c>
      <c r="AD10" s="31">
        <v>1.0</v>
      </c>
      <c r="AE10" s="31">
        <v>5.0</v>
      </c>
      <c r="AF10" s="31">
        <v>19.0</v>
      </c>
      <c r="AG10" s="31">
        <v>19.0</v>
      </c>
      <c r="AH10" s="13"/>
      <c r="AI10" s="10" t="s">
        <v>42</v>
      </c>
      <c r="AJ10" s="10" t="s">
        <v>570</v>
      </c>
      <c r="AK10" s="29">
        <v>43073.0</v>
      </c>
      <c r="AL10" s="13">
        <v>0.0</v>
      </c>
      <c r="AM10" s="13">
        <v>0.0</v>
      </c>
      <c r="AN10" s="13">
        <v>1.0</v>
      </c>
      <c r="AO10" s="13">
        <v>0.0</v>
      </c>
      <c r="AP10" s="13">
        <v>0.0</v>
      </c>
      <c r="AQ10" s="13">
        <v>0.0</v>
      </c>
      <c r="AR10" s="13">
        <v>0.0</v>
      </c>
      <c r="AS10" s="13">
        <v>0.0</v>
      </c>
      <c r="AT10" s="13">
        <v>1.0</v>
      </c>
      <c r="AU10" s="13">
        <v>1.0</v>
      </c>
      <c r="AV10" s="13">
        <v>3.0</v>
      </c>
      <c r="AW10" s="13">
        <v>87.0</v>
      </c>
      <c r="AX10" s="13">
        <v>87.0</v>
      </c>
    </row>
    <row r="11">
      <c r="A11" s="10" t="s">
        <v>25</v>
      </c>
      <c r="B11" s="10" t="s">
        <v>763</v>
      </c>
      <c r="C11" s="29">
        <v>42082.0</v>
      </c>
      <c r="D11" s="13">
        <v>0.0</v>
      </c>
      <c r="E11" s="13">
        <v>1.0</v>
      </c>
      <c r="F11" s="13">
        <v>1.0</v>
      </c>
      <c r="G11" s="13">
        <v>0.0</v>
      </c>
      <c r="H11" s="13">
        <v>0.0</v>
      </c>
      <c r="I11" s="13">
        <v>0.0</v>
      </c>
      <c r="J11" s="13">
        <v>1.0</v>
      </c>
      <c r="K11" s="13">
        <v>1.0</v>
      </c>
      <c r="L11" s="13">
        <v>0.0</v>
      </c>
      <c r="M11" s="13">
        <v>1.0</v>
      </c>
      <c r="N11" s="13">
        <v>5.0</v>
      </c>
      <c r="O11" s="13">
        <v>107.0</v>
      </c>
      <c r="P11" s="13">
        <v>107.0</v>
      </c>
      <c r="Q11" s="10"/>
      <c r="R11" s="27" t="s">
        <v>36</v>
      </c>
      <c r="S11" s="27" t="s">
        <v>505</v>
      </c>
      <c r="T11" s="30">
        <v>42846.0</v>
      </c>
      <c r="U11" s="31">
        <v>0.0</v>
      </c>
      <c r="V11" s="31">
        <v>1.0</v>
      </c>
      <c r="W11" s="31">
        <v>1.0</v>
      </c>
      <c r="X11" s="31">
        <v>1.0</v>
      </c>
      <c r="Y11" s="31">
        <v>0.0</v>
      </c>
      <c r="Z11" s="31">
        <v>1.0</v>
      </c>
      <c r="AA11" s="31">
        <v>0.0</v>
      </c>
      <c r="AB11" s="31">
        <v>1.0</v>
      </c>
      <c r="AC11" s="31">
        <v>1.0</v>
      </c>
      <c r="AD11" s="31">
        <v>1.0</v>
      </c>
      <c r="AE11" s="31">
        <v>7.0</v>
      </c>
      <c r="AF11" s="31">
        <v>21.0</v>
      </c>
      <c r="AG11" s="31">
        <v>21.0</v>
      </c>
      <c r="AH11" s="13"/>
      <c r="AI11" s="10" t="s">
        <v>42</v>
      </c>
      <c r="AJ11" s="10" t="s">
        <v>764</v>
      </c>
      <c r="AK11" s="29">
        <v>43150.0</v>
      </c>
      <c r="AL11" s="13">
        <v>0.0</v>
      </c>
      <c r="AM11" s="13">
        <v>0.0</v>
      </c>
      <c r="AN11" s="13">
        <v>1.0</v>
      </c>
      <c r="AO11" s="13">
        <v>0.0</v>
      </c>
      <c r="AP11" s="13">
        <v>0.0</v>
      </c>
      <c r="AQ11" s="13">
        <v>0.0</v>
      </c>
      <c r="AR11" s="13">
        <v>0.0</v>
      </c>
      <c r="AS11" s="13">
        <v>0.0</v>
      </c>
      <c r="AT11" s="13">
        <v>0.0</v>
      </c>
      <c r="AU11" s="13">
        <v>1.0</v>
      </c>
      <c r="AV11" s="13">
        <v>2.0</v>
      </c>
      <c r="AW11" s="13">
        <v>68.0</v>
      </c>
      <c r="AX11" s="13">
        <v>68.0</v>
      </c>
    </row>
    <row r="12">
      <c r="A12" s="10" t="s">
        <v>25</v>
      </c>
      <c r="B12" s="10" t="s">
        <v>765</v>
      </c>
      <c r="C12" s="29">
        <v>42086.0</v>
      </c>
      <c r="D12" s="13">
        <v>0.0</v>
      </c>
      <c r="E12" s="13">
        <v>1.0</v>
      </c>
      <c r="F12" s="13">
        <v>1.0</v>
      </c>
      <c r="G12" s="13">
        <v>0.0</v>
      </c>
      <c r="H12" s="13">
        <v>0.0</v>
      </c>
      <c r="I12" s="13">
        <v>0.0</v>
      </c>
      <c r="J12" s="13">
        <v>1.0</v>
      </c>
      <c r="K12" s="13">
        <v>1.0</v>
      </c>
      <c r="L12" s="13">
        <v>0.0</v>
      </c>
      <c r="M12" s="13">
        <v>1.0</v>
      </c>
      <c r="N12" s="13">
        <v>5.0</v>
      </c>
      <c r="O12" s="13">
        <v>107.0</v>
      </c>
      <c r="P12" s="13">
        <v>107.0</v>
      </c>
      <c r="Q12" s="10"/>
      <c r="R12" s="27" t="s">
        <v>36</v>
      </c>
      <c r="S12" s="27" t="s">
        <v>506</v>
      </c>
      <c r="T12" s="30">
        <v>43797.0</v>
      </c>
      <c r="U12" s="31">
        <v>0.0</v>
      </c>
      <c r="V12" s="31">
        <v>1.0</v>
      </c>
      <c r="W12" s="31">
        <v>1.0</v>
      </c>
      <c r="X12" s="31">
        <v>0.0</v>
      </c>
      <c r="Y12" s="31">
        <v>0.0</v>
      </c>
      <c r="Z12" s="31">
        <v>0.0</v>
      </c>
      <c r="AA12" s="31">
        <v>1.0</v>
      </c>
      <c r="AB12" s="31">
        <v>1.0</v>
      </c>
      <c r="AC12" s="31">
        <v>0.0</v>
      </c>
      <c r="AD12" s="31">
        <v>1.0</v>
      </c>
      <c r="AE12" s="31">
        <v>5.0</v>
      </c>
      <c r="AF12" s="31">
        <v>25.0</v>
      </c>
      <c r="AG12" s="31">
        <v>25.0</v>
      </c>
      <c r="AH12" s="13"/>
      <c r="AI12" s="10" t="s">
        <v>42</v>
      </c>
      <c r="AJ12" s="10" t="s">
        <v>766</v>
      </c>
      <c r="AK12" s="29">
        <v>43241.0</v>
      </c>
      <c r="AL12" s="13">
        <v>0.0</v>
      </c>
      <c r="AM12" s="13">
        <v>0.0</v>
      </c>
      <c r="AN12" s="13">
        <v>1.0</v>
      </c>
      <c r="AO12" s="13">
        <v>0.0</v>
      </c>
      <c r="AP12" s="13">
        <v>0.0</v>
      </c>
      <c r="AQ12" s="13">
        <v>0.0</v>
      </c>
      <c r="AR12" s="13">
        <v>0.0</v>
      </c>
      <c r="AS12" s="13">
        <v>0.0</v>
      </c>
      <c r="AT12" s="13">
        <v>0.0</v>
      </c>
      <c r="AU12" s="13">
        <v>1.0</v>
      </c>
      <c r="AV12" s="13">
        <v>2.0</v>
      </c>
      <c r="AW12" s="13">
        <v>70.0</v>
      </c>
      <c r="AX12" s="13">
        <v>70.0</v>
      </c>
    </row>
    <row r="13">
      <c r="A13" s="10" t="s">
        <v>25</v>
      </c>
      <c r="B13" s="10" t="s">
        <v>767</v>
      </c>
      <c r="C13" s="29">
        <v>42090.0</v>
      </c>
      <c r="D13" s="13">
        <v>0.0</v>
      </c>
      <c r="E13" s="13">
        <v>1.0</v>
      </c>
      <c r="F13" s="13">
        <v>1.0</v>
      </c>
      <c r="G13" s="13">
        <v>0.0</v>
      </c>
      <c r="H13" s="13">
        <v>0.0</v>
      </c>
      <c r="I13" s="13">
        <v>0.0</v>
      </c>
      <c r="J13" s="13">
        <v>1.0</v>
      </c>
      <c r="K13" s="13">
        <v>1.0</v>
      </c>
      <c r="L13" s="13">
        <v>0.0</v>
      </c>
      <c r="M13" s="13">
        <v>1.0</v>
      </c>
      <c r="N13" s="13">
        <v>5.0</v>
      </c>
      <c r="O13" s="13">
        <v>107.0</v>
      </c>
      <c r="P13" s="13">
        <v>107.0</v>
      </c>
      <c r="Q13" s="10"/>
      <c r="R13" s="27" t="s">
        <v>36</v>
      </c>
      <c r="S13" s="27" t="s">
        <v>507</v>
      </c>
      <c r="T13" s="30">
        <v>43840.0</v>
      </c>
      <c r="U13" s="31">
        <v>0.0</v>
      </c>
      <c r="V13" s="31">
        <v>1.0</v>
      </c>
      <c r="W13" s="31">
        <v>1.0</v>
      </c>
      <c r="X13" s="31">
        <v>0.0</v>
      </c>
      <c r="Y13" s="31">
        <v>0.0</v>
      </c>
      <c r="Z13" s="31">
        <v>0.0</v>
      </c>
      <c r="AA13" s="31">
        <v>1.0</v>
      </c>
      <c r="AB13" s="31">
        <v>1.0</v>
      </c>
      <c r="AC13" s="31">
        <v>1.0</v>
      </c>
      <c r="AD13" s="31">
        <v>1.0</v>
      </c>
      <c r="AE13" s="31">
        <v>6.0</v>
      </c>
      <c r="AF13" s="31">
        <v>25.0</v>
      </c>
      <c r="AG13" s="31">
        <v>25.0</v>
      </c>
      <c r="AH13" s="13"/>
      <c r="AI13" s="10" t="s">
        <v>42</v>
      </c>
      <c r="AJ13" s="10" t="s">
        <v>768</v>
      </c>
      <c r="AK13" s="29">
        <v>43298.0</v>
      </c>
      <c r="AL13" s="13">
        <v>0.0</v>
      </c>
      <c r="AM13" s="13">
        <v>0.0</v>
      </c>
      <c r="AN13" s="13">
        <v>1.0</v>
      </c>
      <c r="AO13" s="13">
        <v>0.0</v>
      </c>
      <c r="AP13" s="13">
        <v>0.0</v>
      </c>
      <c r="AQ13" s="13">
        <v>0.0</v>
      </c>
      <c r="AR13" s="13">
        <v>0.0</v>
      </c>
      <c r="AS13" s="13">
        <v>1.0</v>
      </c>
      <c r="AT13" s="13">
        <v>0.0</v>
      </c>
      <c r="AU13" s="13">
        <v>1.0</v>
      </c>
      <c r="AV13" s="13">
        <v>3.0</v>
      </c>
      <c r="AW13" s="13">
        <v>70.0</v>
      </c>
      <c r="AX13" s="13">
        <v>70.0</v>
      </c>
    </row>
    <row r="14">
      <c r="A14" s="10" t="s">
        <v>25</v>
      </c>
      <c r="B14" s="10" t="s">
        <v>769</v>
      </c>
      <c r="C14" s="29">
        <v>42106.0</v>
      </c>
      <c r="D14" s="13">
        <v>0.0</v>
      </c>
      <c r="E14" s="13">
        <v>1.0</v>
      </c>
      <c r="F14" s="13">
        <v>1.0</v>
      </c>
      <c r="G14" s="13">
        <v>0.0</v>
      </c>
      <c r="H14" s="13">
        <v>0.0</v>
      </c>
      <c r="I14" s="13">
        <v>0.0</v>
      </c>
      <c r="J14" s="13">
        <v>1.0</v>
      </c>
      <c r="K14" s="13">
        <v>1.0</v>
      </c>
      <c r="L14" s="13">
        <v>0.0</v>
      </c>
      <c r="M14" s="13">
        <v>1.0</v>
      </c>
      <c r="N14" s="13">
        <v>5.0</v>
      </c>
      <c r="O14" s="13">
        <v>107.0</v>
      </c>
      <c r="P14" s="13">
        <v>107.0</v>
      </c>
      <c r="Q14" s="10"/>
      <c r="R14" s="27" t="s">
        <v>36</v>
      </c>
      <c r="S14" s="27" t="s">
        <v>508</v>
      </c>
      <c r="T14" s="30">
        <v>43862.0</v>
      </c>
      <c r="U14" s="31">
        <v>0.0</v>
      </c>
      <c r="V14" s="31">
        <v>1.0</v>
      </c>
      <c r="W14" s="31">
        <v>1.0</v>
      </c>
      <c r="X14" s="31">
        <v>0.0</v>
      </c>
      <c r="Y14" s="31">
        <v>0.0</v>
      </c>
      <c r="Z14" s="31">
        <v>0.0</v>
      </c>
      <c r="AA14" s="31">
        <v>1.0</v>
      </c>
      <c r="AB14" s="31">
        <v>1.0</v>
      </c>
      <c r="AC14" s="31">
        <v>0.0</v>
      </c>
      <c r="AD14" s="31">
        <v>1.0</v>
      </c>
      <c r="AE14" s="31">
        <v>5.0</v>
      </c>
      <c r="AF14" s="31">
        <v>25.0</v>
      </c>
      <c r="AG14" s="31">
        <v>25.0</v>
      </c>
      <c r="AH14" s="13"/>
      <c r="AI14" s="10" t="s">
        <v>42</v>
      </c>
      <c r="AJ14" s="10" t="s">
        <v>770</v>
      </c>
      <c r="AK14" s="29">
        <v>43354.0</v>
      </c>
      <c r="AL14" s="13">
        <v>0.0</v>
      </c>
      <c r="AM14" s="13">
        <v>1.0</v>
      </c>
      <c r="AN14" s="13">
        <v>1.0</v>
      </c>
      <c r="AO14" s="13">
        <v>0.0</v>
      </c>
      <c r="AP14" s="13">
        <v>0.0</v>
      </c>
      <c r="AQ14" s="13">
        <v>0.0</v>
      </c>
      <c r="AR14" s="13">
        <v>0.0</v>
      </c>
      <c r="AS14" s="13">
        <v>0.0</v>
      </c>
      <c r="AT14" s="13">
        <v>0.0</v>
      </c>
      <c r="AU14" s="13">
        <v>1.0</v>
      </c>
      <c r="AV14" s="13">
        <v>3.0</v>
      </c>
      <c r="AW14" s="13">
        <v>69.0</v>
      </c>
      <c r="AX14" s="13">
        <v>69.0</v>
      </c>
    </row>
    <row r="15">
      <c r="A15" s="10" t="s">
        <v>25</v>
      </c>
      <c r="B15" s="10" t="s">
        <v>771</v>
      </c>
      <c r="C15" s="29">
        <v>42128.0</v>
      </c>
      <c r="D15" s="13">
        <v>0.0</v>
      </c>
      <c r="E15" s="13">
        <v>1.0</v>
      </c>
      <c r="F15" s="13">
        <v>1.0</v>
      </c>
      <c r="G15" s="13">
        <v>0.0</v>
      </c>
      <c r="H15" s="13">
        <v>0.0</v>
      </c>
      <c r="I15" s="13">
        <v>0.0</v>
      </c>
      <c r="J15" s="13">
        <v>1.0</v>
      </c>
      <c r="K15" s="13">
        <v>1.0</v>
      </c>
      <c r="L15" s="13">
        <v>0.0</v>
      </c>
      <c r="M15" s="13">
        <v>1.0</v>
      </c>
      <c r="N15" s="13">
        <v>5.0</v>
      </c>
      <c r="O15" s="13">
        <v>107.0</v>
      </c>
      <c r="P15" s="13">
        <v>107.0</v>
      </c>
      <c r="Q15" s="10"/>
      <c r="R15" s="27" t="s">
        <v>36</v>
      </c>
      <c r="S15" s="27" t="s">
        <v>509</v>
      </c>
      <c r="T15" s="30">
        <v>43890.0</v>
      </c>
      <c r="U15" s="31">
        <v>0.0</v>
      </c>
      <c r="V15" s="31">
        <v>1.0</v>
      </c>
      <c r="W15" s="31">
        <v>1.0</v>
      </c>
      <c r="X15" s="31">
        <v>0.0</v>
      </c>
      <c r="Y15" s="31">
        <v>0.0</v>
      </c>
      <c r="Z15" s="31">
        <v>0.0</v>
      </c>
      <c r="AA15" s="31">
        <v>1.0</v>
      </c>
      <c r="AB15" s="31">
        <v>1.0</v>
      </c>
      <c r="AC15" s="31">
        <v>0.0</v>
      </c>
      <c r="AD15" s="31">
        <v>1.0</v>
      </c>
      <c r="AE15" s="31">
        <v>5.0</v>
      </c>
      <c r="AF15" s="31">
        <v>25.0</v>
      </c>
      <c r="AG15" s="31">
        <v>25.0</v>
      </c>
      <c r="AH15" s="13"/>
      <c r="AI15" s="10" t="s">
        <v>42</v>
      </c>
      <c r="AJ15" s="10" t="s">
        <v>772</v>
      </c>
      <c r="AK15" s="29">
        <v>43416.0</v>
      </c>
      <c r="AL15" s="13">
        <v>0.0</v>
      </c>
      <c r="AM15" s="13">
        <v>0.0</v>
      </c>
      <c r="AN15" s="13">
        <v>1.0</v>
      </c>
      <c r="AO15" s="13">
        <v>0.0</v>
      </c>
      <c r="AP15" s="13">
        <v>0.0</v>
      </c>
      <c r="AQ15" s="13">
        <v>0.0</v>
      </c>
      <c r="AR15" s="13">
        <v>0.0</v>
      </c>
      <c r="AS15" s="13">
        <v>0.0</v>
      </c>
      <c r="AT15" s="13">
        <v>0.0</v>
      </c>
      <c r="AU15" s="13">
        <v>1.0</v>
      </c>
      <c r="AV15" s="13">
        <v>2.0</v>
      </c>
      <c r="AW15" s="13">
        <v>69.0</v>
      </c>
      <c r="AX15" s="13">
        <v>69.0</v>
      </c>
    </row>
    <row r="16">
      <c r="A16" s="10" t="s">
        <v>25</v>
      </c>
      <c r="B16" s="10" t="s">
        <v>745</v>
      </c>
      <c r="C16" s="29">
        <v>42164.0</v>
      </c>
      <c r="D16" s="13">
        <v>0.0</v>
      </c>
      <c r="E16" s="13">
        <v>1.0</v>
      </c>
      <c r="F16" s="13">
        <v>1.0</v>
      </c>
      <c r="G16" s="13">
        <v>0.0</v>
      </c>
      <c r="H16" s="13">
        <v>0.0</v>
      </c>
      <c r="I16" s="13">
        <v>0.0</v>
      </c>
      <c r="J16" s="13">
        <v>1.0</v>
      </c>
      <c r="K16" s="13">
        <v>1.0</v>
      </c>
      <c r="L16" s="13">
        <v>0.0</v>
      </c>
      <c r="M16" s="13">
        <v>1.0</v>
      </c>
      <c r="N16" s="13">
        <v>5.0</v>
      </c>
      <c r="O16" s="13">
        <v>107.0</v>
      </c>
      <c r="P16" s="13">
        <v>107.0</v>
      </c>
      <c r="Q16" s="10"/>
      <c r="R16" s="27" t="s">
        <v>36</v>
      </c>
      <c r="S16" s="27" t="s">
        <v>510</v>
      </c>
      <c r="T16" s="30">
        <v>43946.0</v>
      </c>
      <c r="U16" s="31">
        <v>0.0</v>
      </c>
      <c r="V16" s="31">
        <v>1.0</v>
      </c>
      <c r="W16" s="31">
        <v>1.0</v>
      </c>
      <c r="X16" s="31">
        <v>1.0</v>
      </c>
      <c r="Y16" s="31">
        <v>0.0</v>
      </c>
      <c r="Z16" s="31">
        <v>0.0</v>
      </c>
      <c r="AA16" s="31">
        <v>1.0</v>
      </c>
      <c r="AB16" s="31">
        <v>1.0</v>
      </c>
      <c r="AC16" s="31">
        <v>0.0</v>
      </c>
      <c r="AD16" s="31">
        <v>1.0</v>
      </c>
      <c r="AE16" s="31">
        <v>6.0</v>
      </c>
      <c r="AF16" s="31">
        <v>25.0</v>
      </c>
      <c r="AG16" s="31">
        <v>25.0</v>
      </c>
      <c r="AH16" s="13"/>
      <c r="AI16" s="10" t="s">
        <v>42</v>
      </c>
      <c r="AJ16" s="10" t="s">
        <v>773</v>
      </c>
      <c r="AK16" s="29">
        <v>43512.0</v>
      </c>
      <c r="AL16" s="13">
        <v>0.0</v>
      </c>
      <c r="AM16" s="13">
        <v>1.0</v>
      </c>
      <c r="AN16" s="13">
        <v>1.0</v>
      </c>
      <c r="AO16" s="13">
        <v>0.0</v>
      </c>
      <c r="AP16" s="13">
        <v>0.0</v>
      </c>
      <c r="AQ16" s="13">
        <v>0.0</v>
      </c>
      <c r="AR16" s="13">
        <v>0.0</v>
      </c>
      <c r="AS16" s="13">
        <v>1.0</v>
      </c>
      <c r="AT16" s="13">
        <v>0.0</v>
      </c>
      <c r="AU16" s="13">
        <v>1.0</v>
      </c>
      <c r="AV16" s="13">
        <v>4.0</v>
      </c>
      <c r="AW16" s="13">
        <v>59.0</v>
      </c>
      <c r="AX16" s="13">
        <v>59.0</v>
      </c>
    </row>
    <row r="17">
      <c r="A17" s="10" t="s">
        <v>25</v>
      </c>
      <c r="B17" s="10" t="s">
        <v>774</v>
      </c>
      <c r="C17" s="29">
        <v>42198.0</v>
      </c>
      <c r="D17" s="13">
        <v>0.0</v>
      </c>
      <c r="E17" s="13">
        <v>1.0</v>
      </c>
      <c r="F17" s="13">
        <v>1.0</v>
      </c>
      <c r="G17" s="13">
        <v>0.0</v>
      </c>
      <c r="H17" s="13">
        <v>0.0</v>
      </c>
      <c r="I17" s="13">
        <v>0.0</v>
      </c>
      <c r="J17" s="13">
        <v>1.0</v>
      </c>
      <c r="K17" s="13">
        <v>1.0</v>
      </c>
      <c r="L17" s="13">
        <v>0.0</v>
      </c>
      <c r="M17" s="13">
        <v>1.0</v>
      </c>
      <c r="N17" s="13">
        <v>5.0</v>
      </c>
      <c r="O17" s="13">
        <v>107.0</v>
      </c>
      <c r="P17" s="13">
        <v>107.0</v>
      </c>
      <c r="Q17" s="10"/>
      <c r="R17" s="27" t="s">
        <v>36</v>
      </c>
      <c r="S17" s="27" t="s">
        <v>511</v>
      </c>
      <c r="T17" s="30">
        <v>43992.0</v>
      </c>
      <c r="U17" s="31">
        <v>0.0</v>
      </c>
      <c r="V17" s="31">
        <v>1.0</v>
      </c>
      <c r="W17" s="31">
        <v>1.0</v>
      </c>
      <c r="X17" s="31">
        <v>0.0</v>
      </c>
      <c r="Y17" s="31">
        <v>0.0</v>
      </c>
      <c r="Z17" s="31">
        <v>0.0</v>
      </c>
      <c r="AA17" s="31">
        <v>1.0</v>
      </c>
      <c r="AB17" s="31">
        <v>1.0</v>
      </c>
      <c r="AC17" s="31">
        <v>0.0</v>
      </c>
      <c r="AD17" s="31">
        <v>1.0</v>
      </c>
      <c r="AE17" s="31">
        <v>5.0</v>
      </c>
      <c r="AF17" s="31">
        <v>25.0</v>
      </c>
      <c r="AG17" s="31">
        <v>25.0</v>
      </c>
      <c r="AH17" s="13"/>
      <c r="AI17" s="10" t="s">
        <v>42</v>
      </c>
      <c r="AJ17" s="10" t="s">
        <v>775</v>
      </c>
      <c r="AK17" s="29">
        <v>43585.0</v>
      </c>
      <c r="AL17" s="13">
        <v>0.0</v>
      </c>
      <c r="AM17" s="13">
        <v>0.0</v>
      </c>
      <c r="AN17" s="13">
        <v>1.0</v>
      </c>
      <c r="AO17" s="13">
        <v>0.0</v>
      </c>
      <c r="AP17" s="13">
        <v>0.0</v>
      </c>
      <c r="AQ17" s="13">
        <v>0.0</v>
      </c>
      <c r="AR17" s="13">
        <v>0.0</v>
      </c>
      <c r="AS17" s="13">
        <v>0.0</v>
      </c>
      <c r="AT17" s="13">
        <v>0.0</v>
      </c>
      <c r="AU17" s="13">
        <v>1.0</v>
      </c>
      <c r="AV17" s="13">
        <v>2.0</v>
      </c>
      <c r="AW17" s="13">
        <v>59.0</v>
      </c>
      <c r="AX17" s="13">
        <v>59.0</v>
      </c>
    </row>
    <row r="18">
      <c r="A18" s="10" t="s">
        <v>25</v>
      </c>
      <c r="B18" s="10" t="s">
        <v>776</v>
      </c>
      <c r="C18" s="29">
        <v>42256.0</v>
      </c>
      <c r="D18" s="13">
        <v>0.0</v>
      </c>
      <c r="E18" s="13">
        <v>1.0</v>
      </c>
      <c r="F18" s="13">
        <v>1.0</v>
      </c>
      <c r="G18" s="13">
        <v>0.0</v>
      </c>
      <c r="H18" s="13">
        <v>0.0</v>
      </c>
      <c r="I18" s="13">
        <v>0.0</v>
      </c>
      <c r="J18" s="13">
        <v>1.0</v>
      </c>
      <c r="K18" s="13">
        <v>1.0</v>
      </c>
      <c r="L18" s="13">
        <v>0.0</v>
      </c>
      <c r="M18" s="13">
        <v>1.0</v>
      </c>
      <c r="N18" s="13">
        <v>5.0</v>
      </c>
      <c r="O18" s="13">
        <v>109.0</v>
      </c>
      <c r="P18" s="13">
        <v>109.0</v>
      </c>
      <c r="Q18" s="10"/>
      <c r="R18" s="27" t="s">
        <v>36</v>
      </c>
      <c r="S18" s="27" t="s">
        <v>512</v>
      </c>
      <c r="T18" s="30">
        <v>43993.0</v>
      </c>
      <c r="U18" s="31">
        <v>1.0</v>
      </c>
      <c r="V18" s="31">
        <v>1.0</v>
      </c>
      <c r="W18" s="31">
        <v>1.0</v>
      </c>
      <c r="X18" s="31">
        <v>1.0</v>
      </c>
      <c r="Y18" s="31">
        <v>0.0</v>
      </c>
      <c r="Z18" s="31">
        <v>0.0</v>
      </c>
      <c r="AA18" s="31">
        <v>1.0</v>
      </c>
      <c r="AB18" s="31">
        <v>1.0</v>
      </c>
      <c r="AC18" s="31">
        <v>0.0</v>
      </c>
      <c r="AD18" s="31">
        <v>1.0</v>
      </c>
      <c r="AE18" s="31">
        <v>7.0</v>
      </c>
      <c r="AF18" s="31">
        <v>24.0</v>
      </c>
      <c r="AG18" s="31">
        <v>24.0</v>
      </c>
      <c r="AH18" s="13"/>
      <c r="AI18" s="10" t="s">
        <v>42</v>
      </c>
      <c r="AJ18" s="10" t="s">
        <v>777</v>
      </c>
      <c r="AK18" s="29">
        <v>43624.0</v>
      </c>
      <c r="AL18" s="13">
        <v>0.0</v>
      </c>
      <c r="AM18" s="13">
        <v>1.0</v>
      </c>
      <c r="AN18" s="13">
        <v>1.0</v>
      </c>
      <c r="AO18" s="13">
        <v>1.0</v>
      </c>
      <c r="AP18" s="13">
        <v>0.0</v>
      </c>
      <c r="AQ18" s="13">
        <v>0.0</v>
      </c>
      <c r="AR18" s="13">
        <v>0.0</v>
      </c>
      <c r="AS18" s="13">
        <v>0.0</v>
      </c>
      <c r="AT18" s="13">
        <v>0.0</v>
      </c>
      <c r="AU18" s="13">
        <v>1.0</v>
      </c>
      <c r="AV18" s="13">
        <v>4.0</v>
      </c>
      <c r="AW18" s="13">
        <v>65.0</v>
      </c>
      <c r="AX18" s="13">
        <v>65.0</v>
      </c>
    </row>
    <row r="19">
      <c r="A19" s="10" t="s">
        <v>25</v>
      </c>
      <c r="B19" s="10" t="s">
        <v>778</v>
      </c>
      <c r="C19" s="29">
        <v>42305.0</v>
      </c>
      <c r="D19" s="13">
        <v>0.0</v>
      </c>
      <c r="E19" s="13">
        <v>1.0</v>
      </c>
      <c r="F19" s="13">
        <v>1.0</v>
      </c>
      <c r="G19" s="13">
        <v>0.0</v>
      </c>
      <c r="H19" s="13">
        <v>0.0</v>
      </c>
      <c r="I19" s="13">
        <v>0.0</v>
      </c>
      <c r="J19" s="13">
        <v>1.0</v>
      </c>
      <c r="K19" s="13">
        <v>1.0</v>
      </c>
      <c r="L19" s="13">
        <v>0.0</v>
      </c>
      <c r="M19" s="13">
        <v>1.0</v>
      </c>
      <c r="N19" s="13">
        <v>5.0</v>
      </c>
      <c r="O19" s="13">
        <v>109.0</v>
      </c>
      <c r="P19" s="13">
        <v>109.0</v>
      </c>
      <c r="Q19" s="10"/>
      <c r="R19" s="27" t="s">
        <v>36</v>
      </c>
      <c r="S19" s="27" t="s">
        <v>513</v>
      </c>
      <c r="T19" s="30">
        <v>44050.0</v>
      </c>
      <c r="U19" s="31">
        <v>0.0</v>
      </c>
      <c r="V19" s="31">
        <v>1.0</v>
      </c>
      <c r="W19" s="31">
        <v>1.0</v>
      </c>
      <c r="X19" s="31">
        <v>0.0</v>
      </c>
      <c r="Y19" s="31">
        <v>0.0</v>
      </c>
      <c r="Z19" s="31">
        <v>0.0</v>
      </c>
      <c r="AA19" s="31">
        <v>1.0</v>
      </c>
      <c r="AB19" s="31">
        <v>1.0</v>
      </c>
      <c r="AC19" s="31">
        <v>0.0</v>
      </c>
      <c r="AD19" s="31">
        <v>1.0</v>
      </c>
      <c r="AE19" s="31">
        <v>5.0</v>
      </c>
      <c r="AF19" s="31">
        <v>24.0</v>
      </c>
      <c r="AG19" s="31">
        <v>24.0</v>
      </c>
      <c r="AH19" s="13"/>
      <c r="AI19" s="10" t="s">
        <v>42</v>
      </c>
      <c r="AJ19" s="10" t="s">
        <v>779</v>
      </c>
      <c r="AK19" s="29">
        <v>43713.0</v>
      </c>
      <c r="AL19" s="13">
        <v>0.0</v>
      </c>
      <c r="AM19" s="13">
        <v>0.0</v>
      </c>
      <c r="AN19" s="13">
        <v>1.0</v>
      </c>
      <c r="AO19" s="13">
        <v>1.0</v>
      </c>
      <c r="AP19" s="13">
        <v>0.0</v>
      </c>
      <c r="AQ19" s="13">
        <v>0.0</v>
      </c>
      <c r="AR19" s="13">
        <v>0.0</v>
      </c>
      <c r="AS19" s="13">
        <v>0.0</v>
      </c>
      <c r="AT19" s="13">
        <v>0.0</v>
      </c>
      <c r="AU19" s="13">
        <v>1.0</v>
      </c>
      <c r="AV19" s="13">
        <v>3.0</v>
      </c>
      <c r="AW19" s="13">
        <v>65.0</v>
      </c>
      <c r="AX19" s="13">
        <v>65.0</v>
      </c>
    </row>
    <row r="20">
      <c r="A20" s="10" t="s">
        <v>25</v>
      </c>
      <c r="B20" s="10" t="s">
        <v>780</v>
      </c>
      <c r="C20" s="29">
        <v>42406.0</v>
      </c>
      <c r="D20" s="13">
        <v>0.0</v>
      </c>
      <c r="E20" s="13">
        <v>1.0</v>
      </c>
      <c r="F20" s="13">
        <v>1.0</v>
      </c>
      <c r="G20" s="13">
        <v>0.0</v>
      </c>
      <c r="H20" s="13">
        <v>0.0</v>
      </c>
      <c r="I20" s="13">
        <v>0.0</v>
      </c>
      <c r="J20" s="13">
        <v>1.0</v>
      </c>
      <c r="K20" s="13">
        <v>1.0</v>
      </c>
      <c r="L20" s="13">
        <v>1.0</v>
      </c>
      <c r="M20" s="13">
        <v>1.0</v>
      </c>
      <c r="N20" s="13">
        <v>6.0</v>
      </c>
      <c r="O20" s="13">
        <v>111.0</v>
      </c>
      <c r="P20" s="13">
        <v>111.0</v>
      </c>
      <c r="Q20" s="10"/>
      <c r="R20" s="27" t="s">
        <v>36</v>
      </c>
      <c r="S20" s="27" t="s">
        <v>514</v>
      </c>
      <c r="T20" s="30">
        <v>44084.0</v>
      </c>
      <c r="U20" s="31">
        <v>0.0</v>
      </c>
      <c r="V20" s="31">
        <v>1.0</v>
      </c>
      <c r="W20" s="31">
        <v>1.0</v>
      </c>
      <c r="X20" s="31">
        <v>0.0</v>
      </c>
      <c r="Y20" s="31">
        <v>0.0</v>
      </c>
      <c r="Z20" s="31">
        <v>0.0</v>
      </c>
      <c r="AA20" s="31">
        <v>1.0</v>
      </c>
      <c r="AB20" s="31">
        <v>1.0</v>
      </c>
      <c r="AC20" s="31">
        <v>0.0</v>
      </c>
      <c r="AD20" s="31">
        <v>1.0</v>
      </c>
      <c r="AE20" s="31">
        <v>5.0</v>
      </c>
      <c r="AF20" s="31">
        <v>24.0</v>
      </c>
      <c r="AG20" s="31">
        <v>24.0</v>
      </c>
      <c r="AH20" s="13"/>
      <c r="AI20" s="10" t="s">
        <v>42</v>
      </c>
      <c r="AJ20" s="10" t="s">
        <v>781</v>
      </c>
      <c r="AK20" s="29">
        <v>43881.0</v>
      </c>
      <c r="AL20" s="13">
        <v>0.0</v>
      </c>
      <c r="AM20" s="13">
        <v>0.0</v>
      </c>
      <c r="AN20" s="13">
        <v>1.0</v>
      </c>
      <c r="AO20" s="13">
        <v>1.0</v>
      </c>
      <c r="AP20" s="13">
        <v>0.0</v>
      </c>
      <c r="AQ20" s="13">
        <v>0.0</v>
      </c>
      <c r="AR20" s="13">
        <v>0.0</v>
      </c>
      <c r="AS20" s="13">
        <v>0.0</v>
      </c>
      <c r="AT20" s="13">
        <v>1.0</v>
      </c>
      <c r="AU20" s="13">
        <v>1.0</v>
      </c>
      <c r="AV20" s="13">
        <v>4.0</v>
      </c>
      <c r="AW20" s="13">
        <v>100.0</v>
      </c>
      <c r="AX20" s="13">
        <v>100.0</v>
      </c>
    </row>
    <row r="21">
      <c r="A21" s="10" t="s">
        <v>25</v>
      </c>
      <c r="B21" s="10" t="s">
        <v>782</v>
      </c>
      <c r="C21" s="29">
        <v>42456.0</v>
      </c>
      <c r="D21" s="13">
        <v>0.0</v>
      </c>
      <c r="E21" s="13">
        <v>1.0</v>
      </c>
      <c r="F21" s="13">
        <v>1.0</v>
      </c>
      <c r="G21" s="13">
        <v>0.0</v>
      </c>
      <c r="H21" s="13">
        <v>0.0</v>
      </c>
      <c r="I21" s="13">
        <v>0.0</v>
      </c>
      <c r="J21" s="13">
        <v>1.0</v>
      </c>
      <c r="K21" s="13">
        <v>1.0</v>
      </c>
      <c r="L21" s="13">
        <v>0.0</v>
      </c>
      <c r="M21" s="13">
        <v>1.0</v>
      </c>
      <c r="N21" s="13">
        <v>5.0</v>
      </c>
      <c r="O21" s="13">
        <v>111.0</v>
      </c>
      <c r="P21" s="13">
        <v>111.0</v>
      </c>
      <c r="Q21" s="10"/>
      <c r="R21" s="27" t="s">
        <v>36</v>
      </c>
      <c r="S21" s="27" t="s">
        <v>515</v>
      </c>
      <c r="T21" s="30">
        <v>44084.0</v>
      </c>
      <c r="U21" s="31">
        <v>0.0</v>
      </c>
      <c r="V21" s="31">
        <v>1.0</v>
      </c>
      <c r="W21" s="31">
        <v>1.0</v>
      </c>
      <c r="X21" s="31">
        <v>0.0</v>
      </c>
      <c r="Y21" s="31">
        <v>0.0</v>
      </c>
      <c r="Z21" s="31">
        <v>0.0</v>
      </c>
      <c r="AA21" s="31">
        <v>1.0</v>
      </c>
      <c r="AB21" s="31">
        <v>1.0</v>
      </c>
      <c r="AC21" s="31">
        <v>0.0</v>
      </c>
      <c r="AD21" s="31">
        <v>1.0</v>
      </c>
      <c r="AE21" s="31">
        <v>5.0</v>
      </c>
      <c r="AF21" s="31">
        <v>24.0</v>
      </c>
      <c r="AG21" s="31">
        <v>24.0</v>
      </c>
      <c r="AH21" s="13"/>
      <c r="AI21" s="10" t="s">
        <v>42</v>
      </c>
      <c r="AJ21" s="10" t="s">
        <v>783</v>
      </c>
      <c r="AK21" s="29">
        <v>44068.0</v>
      </c>
      <c r="AL21" s="13">
        <v>0.0</v>
      </c>
      <c r="AM21" s="13">
        <v>1.0</v>
      </c>
      <c r="AN21" s="13">
        <v>1.0</v>
      </c>
      <c r="AO21" s="13">
        <v>1.0</v>
      </c>
      <c r="AP21" s="13">
        <v>1.0</v>
      </c>
      <c r="AQ21" s="13">
        <v>0.0</v>
      </c>
      <c r="AR21" s="13">
        <v>0.0</v>
      </c>
      <c r="AS21" s="13">
        <v>0.0</v>
      </c>
      <c r="AT21" s="13">
        <v>0.0</v>
      </c>
      <c r="AU21" s="13">
        <v>1.0</v>
      </c>
      <c r="AV21" s="13">
        <v>5.0</v>
      </c>
      <c r="AW21" s="13">
        <v>104.0</v>
      </c>
      <c r="AX21" s="13">
        <v>104.0</v>
      </c>
    </row>
    <row r="22">
      <c r="A22" s="10" t="s">
        <v>25</v>
      </c>
      <c r="B22" s="10" t="s">
        <v>784</v>
      </c>
      <c r="C22" s="29">
        <v>42496.0</v>
      </c>
      <c r="D22" s="13">
        <v>0.0</v>
      </c>
      <c r="E22" s="13">
        <v>1.0</v>
      </c>
      <c r="F22" s="13">
        <v>1.0</v>
      </c>
      <c r="G22" s="13">
        <v>0.0</v>
      </c>
      <c r="H22" s="13">
        <v>0.0</v>
      </c>
      <c r="I22" s="13">
        <v>0.0</v>
      </c>
      <c r="J22" s="13">
        <v>1.0</v>
      </c>
      <c r="K22" s="13">
        <v>1.0</v>
      </c>
      <c r="L22" s="13">
        <v>0.0</v>
      </c>
      <c r="M22" s="13">
        <v>1.0</v>
      </c>
      <c r="N22" s="13">
        <v>5.0</v>
      </c>
      <c r="O22" s="13">
        <v>111.0</v>
      </c>
      <c r="P22" s="13">
        <v>111.0</v>
      </c>
      <c r="Q22" s="10"/>
      <c r="R22" s="27" t="s">
        <v>36</v>
      </c>
      <c r="S22" s="27" t="s">
        <v>516</v>
      </c>
      <c r="T22" s="30">
        <v>44120.0</v>
      </c>
      <c r="U22" s="31">
        <v>0.0</v>
      </c>
      <c r="V22" s="31">
        <v>1.0</v>
      </c>
      <c r="W22" s="31">
        <v>1.0</v>
      </c>
      <c r="X22" s="31">
        <v>0.0</v>
      </c>
      <c r="Y22" s="31">
        <v>0.0</v>
      </c>
      <c r="Z22" s="31">
        <v>0.0</v>
      </c>
      <c r="AA22" s="31">
        <v>1.0</v>
      </c>
      <c r="AB22" s="31">
        <v>1.0</v>
      </c>
      <c r="AC22" s="31">
        <v>0.0</v>
      </c>
      <c r="AD22" s="31">
        <v>1.0</v>
      </c>
      <c r="AE22" s="31">
        <v>5.0</v>
      </c>
      <c r="AF22" s="31">
        <v>24.0</v>
      </c>
      <c r="AG22" s="31">
        <v>24.0</v>
      </c>
      <c r="AH22" s="13"/>
      <c r="AI22" s="10" t="s">
        <v>42</v>
      </c>
      <c r="AJ22" s="10" t="s">
        <v>785</v>
      </c>
      <c r="AK22" s="29">
        <v>44229.0</v>
      </c>
      <c r="AL22" s="13">
        <v>0.0</v>
      </c>
      <c r="AM22" s="13">
        <v>1.0</v>
      </c>
      <c r="AN22" s="13">
        <v>1.0</v>
      </c>
      <c r="AO22" s="13">
        <v>0.0</v>
      </c>
      <c r="AP22" s="13">
        <v>0.0</v>
      </c>
      <c r="AQ22" s="13">
        <v>0.0</v>
      </c>
      <c r="AR22" s="13">
        <v>0.0</v>
      </c>
      <c r="AS22" s="13">
        <v>1.0</v>
      </c>
      <c r="AT22" s="13">
        <v>0.0</v>
      </c>
      <c r="AU22" s="13">
        <v>1.0</v>
      </c>
      <c r="AV22" s="13">
        <v>4.0</v>
      </c>
      <c r="AW22" s="13">
        <v>75.0</v>
      </c>
      <c r="AX22" s="13">
        <v>75.0</v>
      </c>
    </row>
    <row r="23">
      <c r="A23" s="10" t="s">
        <v>25</v>
      </c>
      <c r="B23" s="10" t="s">
        <v>748</v>
      </c>
      <c r="C23" s="29">
        <v>42496.0</v>
      </c>
      <c r="D23" s="13">
        <v>0.0</v>
      </c>
      <c r="E23" s="13">
        <v>1.0</v>
      </c>
      <c r="F23" s="13">
        <v>1.0</v>
      </c>
      <c r="G23" s="13">
        <v>0.0</v>
      </c>
      <c r="H23" s="13">
        <v>0.0</v>
      </c>
      <c r="I23" s="13">
        <v>0.0</v>
      </c>
      <c r="J23" s="13">
        <v>1.0</v>
      </c>
      <c r="K23" s="13">
        <v>1.0</v>
      </c>
      <c r="L23" s="13">
        <v>0.0</v>
      </c>
      <c r="M23" s="13">
        <v>1.0</v>
      </c>
      <c r="N23" s="13">
        <v>5.0</v>
      </c>
      <c r="O23" s="13">
        <v>112.0</v>
      </c>
      <c r="P23" s="13">
        <v>112.0</v>
      </c>
      <c r="Q23" s="10"/>
      <c r="R23" s="27" t="s">
        <v>36</v>
      </c>
      <c r="S23" s="27" t="s">
        <v>517</v>
      </c>
      <c r="T23" s="30">
        <v>44133.0</v>
      </c>
      <c r="U23" s="31">
        <v>0.0</v>
      </c>
      <c r="V23" s="31">
        <v>1.0</v>
      </c>
      <c r="W23" s="31">
        <v>1.0</v>
      </c>
      <c r="X23" s="31">
        <v>0.0</v>
      </c>
      <c r="Y23" s="31">
        <v>0.0</v>
      </c>
      <c r="Z23" s="31">
        <v>0.0</v>
      </c>
      <c r="AA23" s="31">
        <v>1.0</v>
      </c>
      <c r="AB23" s="31">
        <v>1.0</v>
      </c>
      <c r="AC23" s="31">
        <v>1.0</v>
      </c>
      <c r="AD23" s="31">
        <v>1.0</v>
      </c>
      <c r="AE23" s="31">
        <v>6.0</v>
      </c>
      <c r="AF23" s="31">
        <v>25.0</v>
      </c>
      <c r="AG23" s="31">
        <v>25.0</v>
      </c>
      <c r="AH23" s="13"/>
      <c r="AI23" s="10" t="s">
        <v>42</v>
      </c>
      <c r="AJ23" s="10" t="s">
        <v>786</v>
      </c>
      <c r="AK23" s="29">
        <v>44229.0</v>
      </c>
      <c r="AL23" s="13">
        <v>0.0</v>
      </c>
      <c r="AM23" s="13">
        <v>1.0</v>
      </c>
      <c r="AN23" s="13">
        <v>1.0</v>
      </c>
      <c r="AO23" s="13">
        <v>0.0</v>
      </c>
      <c r="AP23" s="13">
        <v>0.0</v>
      </c>
      <c r="AQ23" s="13">
        <v>0.0</v>
      </c>
      <c r="AR23" s="13">
        <v>0.0</v>
      </c>
      <c r="AS23" s="13">
        <v>1.0</v>
      </c>
      <c r="AT23" s="13">
        <v>0.0</v>
      </c>
      <c r="AU23" s="13">
        <v>1.0</v>
      </c>
      <c r="AV23" s="13">
        <v>4.0</v>
      </c>
      <c r="AW23" s="13">
        <v>75.0</v>
      </c>
      <c r="AX23" s="13">
        <v>75.0</v>
      </c>
    </row>
    <row r="24">
      <c r="A24" s="10" t="s">
        <v>25</v>
      </c>
      <c r="B24" s="10" t="s">
        <v>787</v>
      </c>
      <c r="C24" s="29">
        <v>42542.0</v>
      </c>
      <c r="D24" s="13">
        <v>0.0</v>
      </c>
      <c r="E24" s="13">
        <v>0.0</v>
      </c>
      <c r="F24" s="13">
        <v>1.0</v>
      </c>
      <c r="G24" s="13">
        <v>1.0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1.0</v>
      </c>
      <c r="N24" s="13">
        <v>3.0</v>
      </c>
      <c r="O24" s="13">
        <v>86.0</v>
      </c>
      <c r="P24" s="13">
        <v>86.0</v>
      </c>
      <c r="Q24" s="10"/>
      <c r="R24" s="27" t="s">
        <v>36</v>
      </c>
      <c r="S24" s="27" t="s">
        <v>518</v>
      </c>
      <c r="T24" s="30">
        <v>44183.0</v>
      </c>
      <c r="U24" s="31">
        <v>0.0</v>
      </c>
      <c r="V24" s="31">
        <v>1.0</v>
      </c>
      <c r="W24" s="31">
        <v>1.0</v>
      </c>
      <c r="X24" s="31">
        <v>0.0</v>
      </c>
      <c r="Y24" s="31">
        <v>0.0</v>
      </c>
      <c r="Z24" s="31">
        <v>0.0</v>
      </c>
      <c r="AA24" s="31">
        <v>1.0</v>
      </c>
      <c r="AB24" s="31">
        <v>1.0</v>
      </c>
      <c r="AC24" s="31">
        <v>0.0</v>
      </c>
      <c r="AD24" s="31">
        <v>1.0</v>
      </c>
      <c r="AE24" s="31">
        <v>5.0</v>
      </c>
      <c r="AF24" s="31">
        <v>43.0</v>
      </c>
      <c r="AG24" s="31">
        <v>43.0</v>
      </c>
      <c r="AH24" s="13"/>
      <c r="AI24" s="10" t="s">
        <v>42</v>
      </c>
      <c r="AJ24" s="10" t="s">
        <v>788</v>
      </c>
      <c r="AK24" s="29">
        <v>44230.0</v>
      </c>
      <c r="AL24" s="13">
        <v>0.0</v>
      </c>
      <c r="AM24" s="13">
        <v>1.0</v>
      </c>
      <c r="AN24" s="13">
        <v>1.0</v>
      </c>
      <c r="AO24" s="13">
        <v>0.0</v>
      </c>
      <c r="AP24" s="13">
        <v>0.0</v>
      </c>
      <c r="AQ24" s="13">
        <v>0.0</v>
      </c>
      <c r="AR24" s="13">
        <v>1.0</v>
      </c>
      <c r="AS24" s="13">
        <v>1.0</v>
      </c>
      <c r="AT24" s="13">
        <v>0.0</v>
      </c>
      <c r="AU24" s="13">
        <v>1.0</v>
      </c>
      <c r="AV24" s="13">
        <v>5.0</v>
      </c>
      <c r="AW24" s="13">
        <v>75.0</v>
      </c>
      <c r="AX24" s="13">
        <v>75.0</v>
      </c>
    </row>
    <row r="25">
      <c r="A25" s="10" t="s">
        <v>25</v>
      </c>
      <c r="B25" s="10" t="s">
        <v>789</v>
      </c>
      <c r="C25" s="29">
        <v>42714.0</v>
      </c>
      <c r="D25" s="13">
        <v>0.0</v>
      </c>
      <c r="E25" s="13">
        <v>1.0</v>
      </c>
      <c r="F25" s="13">
        <v>1.0</v>
      </c>
      <c r="G25" s="13">
        <v>0.0</v>
      </c>
      <c r="H25" s="13">
        <v>0.0</v>
      </c>
      <c r="I25" s="13">
        <v>0.0</v>
      </c>
      <c r="J25" s="13">
        <v>1.0</v>
      </c>
      <c r="K25" s="13">
        <v>1.0</v>
      </c>
      <c r="L25" s="13">
        <v>0.0</v>
      </c>
      <c r="M25" s="13">
        <v>1.0</v>
      </c>
      <c r="N25" s="13">
        <v>5.0</v>
      </c>
      <c r="O25" s="13">
        <v>144.0</v>
      </c>
      <c r="P25" s="13">
        <v>144.0</v>
      </c>
      <c r="Q25" s="10"/>
      <c r="R25" s="27" t="s">
        <v>36</v>
      </c>
      <c r="S25" s="27" t="s">
        <v>519</v>
      </c>
      <c r="T25" s="30">
        <v>44231.0</v>
      </c>
      <c r="U25" s="31">
        <v>0.0</v>
      </c>
      <c r="V25" s="31">
        <v>1.0</v>
      </c>
      <c r="W25" s="31">
        <v>1.0</v>
      </c>
      <c r="X25" s="31">
        <v>0.0</v>
      </c>
      <c r="Y25" s="31">
        <v>0.0</v>
      </c>
      <c r="Z25" s="31">
        <v>0.0</v>
      </c>
      <c r="AA25" s="31">
        <v>1.0</v>
      </c>
      <c r="AB25" s="31">
        <v>1.0</v>
      </c>
      <c r="AC25" s="31">
        <v>0.0</v>
      </c>
      <c r="AD25" s="31">
        <v>1.0</v>
      </c>
      <c r="AE25" s="31">
        <v>5.0</v>
      </c>
      <c r="AF25" s="31">
        <v>43.0</v>
      </c>
      <c r="AG25" s="31">
        <v>43.0</v>
      </c>
      <c r="AH25" s="13"/>
      <c r="AI25" s="10" t="s">
        <v>42</v>
      </c>
      <c r="AJ25" s="10" t="s">
        <v>790</v>
      </c>
      <c r="AK25" s="29">
        <v>44244.0</v>
      </c>
      <c r="AL25" s="13">
        <v>0.0</v>
      </c>
      <c r="AM25" s="13">
        <v>1.0</v>
      </c>
      <c r="AN25" s="13">
        <v>1.0</v>
      </c>
      <c r="AO25" s="13">
        <v>0.0</v>
      </c>
      <c r="AP25" s="13">
        <v>0.0</v>
      </c>
      <c r="AQ25" s="13">
        <v>0.0</v>
      </c>
      <c r="AR25" s="13">
        <v>1.0</v>
      </c>
      <c r="AS25" s="13">
        <v>1.0</v>
      </c>
      <c r="AT25" s="13">
        <v>0.0</v>
      </c>
      <c r="AU25" s="13">
        <v>1.0</v>
      </c>
      <c r="AV25" s="13">
        <v>5.0</v>
      </c>
      <c r="AW25" s="13">
        <v>75.0</v>
      </c>
      <c r="AX25" s="13">
        <v>75.0</v>
      </c>
    </row>
    <row r="26">
      <c r="A26" s="10" t="s">
        <v>25</v>
      </c>
      <c r="B26" s="10" t="s">
        <v>791</v>
      </c>
      <c r="C26" s="29">
        <v>42779.0</v>
      </c>
      <c r="D26" s="13">
        <v>1.0</v>
      </c>
      <c r="E26" s="13">
        <v>1.0</v>
      </c>
      <c r="F26" s="13">
        <v>1.0</v>
      </c>
      <c r="G26" s="13">
        <v>1.0</v>
      </c>
      <c r="H26" s="13">
        <v>0.0</v>
      </c>
      <c r="I26" s="13">
        <v>0.0</v>
      </c>
      <c r="J26" s="13">
        <v>1.0</v>
      </c>
      <c r="K26" s="13">
        <v>1.0</v>
      </c>
      <c r="L26" s="13">
        <v>0.0</v>
      </c>
      <c r="M26" s="13">
        <v>1.0</v>
      </c>
      <c r="N26" s="13">
        <v>7.0</v>
      </c>
      <c r="O26" s="13">
        <v>145.0</v>
      </c>
      <c r="P26" s="13">
        <v>145.0</v>
      </c>
      <c r="Q26" s="10"/>
      <c r="R26" s="27" t="s">
        <v>36</v>
      </c>
      <c r="S26" s="27" t="s">
        <v>520</v>
      </c>
      <c r="T26" s="30">
        <v>44231.0</v>
      </c>
      <c r="U26" s="31">
        <v>0.0</v>
      </c>
      <c r="V26" s="31">
        <v>1.0</v>
      </c>
      <c r="W26" s="31">
        <v>1.0</v>
      </c>
      <c r="X26" s="31">
        <v>0.0</v>
      </c>
      <c r="Y26" s="31">
        <v>0.0</v>
      </c>
      <c r="Z26" s="31">
        <v>0.0</v>
      </c>
      <c r="AA26" s="31">
        <v>1.0</v>
      </c>
      <c r="AB26" s="31">
        <v>1.0</v>
      </c>
      <c r="AC26" s="31">
        <v>0.0</v>
      </c>
      <c r="AD26" s="31">
        <v>1.0</v>
      </c>
      <c r="AE26" s="31">
        <v>5.0</v>
      </c>
      <c r="AF26" s="31">
        <v>43.0</v>
      </c>
      <c r="AG26" s="31">
        <v>43.0</v>
      </c>
      <c r="AH26" s="13"/>
      <c r="AI26" s="10" t="s">
        <v>42</v>
      </c>
      <c r="AJ26" s="10" t="s">
        <v>792</v>
      </c>
      <c r="AK26" s="29">
        <v>44258.0</v>
      </c>
      <c r="AL26" s="13">
        <v>1.0</v>
      </c>
      <c r="AM26" s="13">
        <v>1.0</v>
      </c>
      <c r="AN26" s="13">
        <v>1.0</v>
      </c>
      <c r="AO26" s="13">
        <v>1.0</v>
      </c>
      <c r="AP26" s="13">
        <v>1.0</v>
      </c>
      <c r="AQ26" s="13">
        <v>0.0</v>
      </c>
      <c r="AR26" s="13">
        <v>1.0</v>
      </c>
      <c r="AS26" s="13">
        <v>0.0</v>
      </c>
      <c r="AT26" s="13">
        <v>0.0</v>
      </c>
      <c r="AU26" s="13">
        <v>1.0</v>
      </c>
      <c r="AV26" s="13">
        <v>7.0</v>
      </c>
      <c r="AW26" s="13">
        <v>101.0</v>
      </c>
      <c r="AX26" s="13">
        <v>101.0</v>
      </c>
    </row>
    <row r="27">
      <c r="A27" s="10" t="s">
        <v>25</v>
      </c>
      <c r="B27" s="10" t="s">
        <v>793</v>
      </c>
      <c r="C27" s="29">
        <v>43043.0</v>
      </c>
      <c r="D27" s="13">
        <v>1.0</v>
      </c>
      <c r="E27" s="13">
        <v>1.0</v>
      </c>
      <c r="F27" s="13">
        <v>1.0</v>
      </c>
      <c r="G27" s="13">
        <v>1.0</v>
      </c>
      <c r="H27" s="13">
        <v>0.0</v>
      </c>
      <c r="I27" s="13">
        <v>1.0</v>
      </c>
      <c r="J27" s="13">
        <v>1.0</v>
      </c>
      <c r="K27" s="13">
        <v>1.0</v>
      </c>
      <c r="L27" s="13">
        <v>0.0</v>
      </c>
      <c r="M27" s="13">
        <v>1.0</v>
      </c>
      <c r="N27" s="13">
        <v>8.0</v>
      </c>
      <c r="O27" s="13">
        <v>147.0</v>
      </c>
      <c r="P27" s="13">
        <v>147.0</v>
      </c>
      <c r="Q27" s="10"/>
      <c r="R27" s="27" t="s">
        <v>36</v>
      </c>
      <c r="S27" s="27" t="s">
        <v>521</v>
      </c>
      <c r="T27" s="30">
        <v>44234.0</v>
      </c>
      <c r="U27" s="31">
        <v>0.0</v>
      </c>
      <c r="V27" s="31">
        <v>1.0</v>
      </c>
      <c r="W27" s="31">
        <v>1.0</v>
      </c>
      <c r="X27" s="31">
        <v>0.0</v>
      </c>
      <c r="Y27" s="31">
        <v>0.0</v>
      </c>
      <c r="Z27" s="31">
        <v>0.0</v>
      </c>
      <c r="AA27" s="31">
        <v>1.0</v>
      </c>
      <c r="AB27" s="31">
        <v>1.0</v>
      </c>
      <c r="AC27" s="31">
        <v>0.0</v>
      </c>
      <c r="AD27" s="31">
        <v>1.0</v>
      </c>
      <c r="AE27" s="31">
        <v>5.0</v>
      </c>
      <c r="AF27" s="31">
        <v>43.0</v>
      </c>
      <c r="AG27" s="31">
        <v>43.0</v>
      </c>
      <c r="AH27" s="13"/>
      <c r="AI27" s="10" t="s">
        <v>42</v>
      </c>
      <c r="AJ27" s="10" t="s">
        <v>794</v>
      </c>
      <c r="AK27" s="29">
        <v>44337.0</v>
      </c>
      <c r="AL27" s="13">
        <v>1.0</v>
      </c>
      <c r="AM27" s="13">
        <v>1.0</v>
      </c>
      <c r="AN27" s="13">
        <v>1.0</v>
      </c>
      <c r="AO27" s="13">
        <v>1.0</v>
      </c>
      <c r="AP27" s="13">
        <v>0.0</v>
      </c>
      <c r="AQ27" s="13">
        <v>0.0</v>
      </c>
      <c r="AR27" s="13">
        <v>0.0</v>
      </c>
      <c r="AS27" s="13">
        <v>1.0</v>
      </c>
      <c r="AT27" s="13">
        <v>0.0</v>
      </c>
      <c r="AU27" s="13">
        <v>1.0</v>
      </c>
      <c r="AV27" s="13">
        <v>6.0</v>
      </c>
      <c r="AW27" s="13">
        <v>104.0</v>
      </c>
      <c r="AX27" s="13">
        <v>104.0</v>
      </c>
    </row>
    <row r="28">
      <c r="A28" s="10" t="s">
        <v>25</v>
      </c>
      <c r="B28" s="10" t="s">
        <v>755</v>
      </c>
      <c r="C28" s="29">
        <v>43521.0</v>
      </c>
      <c r="D28" s="13">
        <v>1.0</v>
      </c>
      <c r="E28" s="13">
        <v>1.0</v>
      </c>
      <c r="F28" s="13">
        <v>1.0</v>
      </c>
      <c r="G28" s="13">
        <v>1.0</v>
      </c>
      <c r="H28" s="13">
        <v>0.0</v>
      </c>
      <c r="I28" s="13">
        <v>0.0</v>
      </c>
      <c r="J28" s="13">
        <v>1.0</v>
      </c>
      <c r="K28" s="13">
        <v>1.0</v>
      </c>
      <c r="L28" s="13">
        <v>0.0</v>
      </c>
      <c r="M28" s="13">
        <v>1.0</v>
      </c>
      <c r="N28" s="13">
        <v>7.0</v>
      </c>
      <c r="O28" s="13">
        <v>147.0</v>
      </c>
      <c r="P28" s="13">
        <v>147.0</v>
      </c>
      <c r="Q28" s="10"/>
      <c r="R28" s="27" t="s">
        <v>36</v>
      </c>
      <c r="S28" s="27" t="s">
        <v>522</v>
      </c>
      <c r="T28" s="30">
        <v>44245.0</v>
      </c>
      <c r="U28" s="31">
        <v>0.0</v>
      </c>
      <c r="V28" s="31">
        <v>1.0</v>
      </c>
      <c r="W28" s="31">
        <v>1.0</v>
      </c>
      <c r="X28" s="31">
        <v>0.0</v>
      </c>
      <c r="Y28" s="31">
        <v>0.0</v>
      </c>
      <c r="Z28" s="31">
        <v>0.0</v>
      </c>
      <c r="AA28" s="31">
        <v>0.0</v>
      </c>
      <c r="AB28" s="31">
        <v>1.0</v>
      </c>
      <c r="AC28" s="31">
        <v>0.0</v>
      </c>
      <c r="AD28" s="31">
        <v>1.0</v>
      </c>
      <c r="AE28" s="31">
        <v>4.0</v>
      </c>
      <c r="AF28" s="31">
        <v>43.0</v>
      </c>
      <c r="AG28" s="31">
        <v>43.0</v>
      </c>
      <c r="AH28" s="13"/>
      <c r="AI28" s="10" t="s">
        <v>42</v>
      </c>
      <c r="AJ28" s="10" t="s">
        <v>795</v>
      </c>
      <c r="AK28" s="29">
        <v>44583.0</v>
      </c>
      <c r="AL28" s="13">
        <v>0.0</v>
      </c>
      <c r="AM28" s="13">
        <v>1.0</v>
      </c>
      <c r="AN28" s="13">
        <v>1.0</v>
      </c>
      <c r="AO28" s="13">
        <v>0.0</v>
      </c>
      <c r="AP28" s="13">
        <v>0.0</v>
      </c>
      <c r="AQ28" s="13">
        <v>0.0</v>
      </c>
      <c r="AR28" s="13">
        <v>1.0</v>
      </c>
      <c r="AS28" s="13">
        <v>1.0</v>
      </c>
      <c r="AT28" s="13">
        <v>0.0</v>
      </c>
      <c r="AU28" s="13">
        <v>1.0</v>
      </c>
      <c r="AV28" s="13">
        <v>5.0</v>
      </c>
      <c r="AW28" s="13">
        <v>74.0</v>
      </c>
      <c r="AX28" s="13">
        <v>74.0</v>
      </c>
    </row>
    <row r="29">
      <c r="A29" s="10" t="s">
        <v>26</v>
      </c>
      <c r="B29" s="10" t="s">
        <v>796</v>
      </c>
      <c r="C29" s="29">
        <v>43477.0</v>
      </c>
      <c r="D29" s="13">
        <v>0.0</v>
      </c>
      <c r="E29" s="13">
        <v>1.0</v>
      </c>
      <c r="F29" s="13">
        <v>1.0</v>
      </c>
      <c r="G29" s="13">
        <v>0.0</v>
      </c>
      <c r="H29" s="13">
        <v>0.0</v>
      </c>
      <c r="I29" s="13">
        <v>0.0</v>
      </c>
      <c r="J29" s="13">
        <v>0.0</v>
      </c>
      <c r="K29" s="13">
        <v>1.0</v>
      </c>
      <c r="L29" s="13">
        <v>0.0</v>
      </c>
      <c r="M29" s="13">
        <v>1.0</v>
      </c>
      <c r="N29" s="13">
        <v>4.0</v>
      </c>
      <c r="O29" s="13">
        <v>1.0</v>
      </c>
      <c r="P29" s="13">
        <v>1.0</v>
      </c>
      <c r="Q29" s="10"/>
      <c r="R29" s="27" t="s">
        <v>36</v>
      </c>
      <c r="S29" s="27" t="s">
        <v>523</v>
      </c>
      <c r="T29" s="30">
        <v>44249.0</v>
      </c>
      <c r="U29" s="31">
        <v>0.0</v>
      </c>
      <c r="V29" s="31">
        <v>1.0</v>
      </c>
      <c r="W29" s="31">
        <v>1.0</v>
      </c>
      <c r="X29" s="31">
        <v>0.0</v>
      </c>
      <c r="Y29" s="31">
        <v>0.0</v>
      </c>
      <c r="Z29" s="31">
        <v>0.0</v>
      </c>
      <c r="AA29" s="31">
        <v>1.0</v>
      </c>
      <c r="AB29" s="31">
        <v>1.0</v>
      </c>
      <c r="AC29" s="31">
        <v>0.0</v>
      </c>
      <c r="AD29" s="31">
        <v>1.0</v>
      </c>
      <c r="AE29" s="31">
        <v>5.0</v>
      </c>
      <c r="AF29" s="31">
        <v>46.0</v>
      </c>
      <c r="AG29" s="31">
        <v>46.0</v>
      </c>
      <c r="AH29" s="13"/>
      <c r="AI29" s="10" t="s">
        <v>42</v>
      </c>
      <c r="AJ29" s="10" t="s">
        <v>797</v>
      </c>
      <c r="AK29" s="29">
        <v>44628.0</v>
      </c>
      <c r="AL29" s="13">
        <v>0.0</v>
      </c>
      <c r="AM29" s="13">
        <v>1.0</v>
      </c>
      <c r="AN29" s="13">
        <v>1.0</v>
      </c>
      <c r="AO29" s="13">
        <v>0.0</v>
      </c>
      <c r="AP29" s="13">
        <v>0.0</v>
      </c>
      <c r="AQ29" s="13">
        <v>0.0</v>
      </c>
      <c r="AR29" s="13">
        <v>1.0</v>
      </c>
      <c r="AS29" s="13">
        <v>1.0</v>
      </c>
      <c r="AT29" s="13">
        <v>0.0</v>
      </c>
      <c r="AU29" s="13">
        <v>1.0</v>
      </c>
      <c r="AV29" s="13">
        <v>5.0</v>
      </c>
      <c r="AW29" s="13">
        <v>74.0</v>
      </c>
      <c r="AX29" s="13">
        <v>74.0</v>
      </c>
    </row>
    <row r="30">
      <c r="A30" s="10" t="s">
        <v>26</v>
      </c>
      <c r="B30" s="10" t="s">
        <v>743</v>
      </c>
      <c r="C30" s="29">
        <v>43478.0</v>
      </c>
      <c r="D30" s="13">
        <v>0.0</v>
      </c>
      <c r="E30" s="13">
        <v>1.0</v>
      </c>
      <c r="F30" s="13">
        <v>1.0</v>
      </c>
      <c r="G30" s="13">
        <v>0.0</v>
      </c>
      <c r="H30" s="13">
        <v>0.0</v>
      </c>
      <c r="I30" s="13">
        <v>0.0</v>
      </c>
      <c r="J30" s="13">
        <v>0.0</v>
      </c>
      <c r="K30" s="13">
        <v>1.0</v>
      </c>
      <c r="L30" s="13">
        <v>0.0</v>
      </c>
      <c r="M30" s="13">
        <v>1.0</v>
      </c>
      <c r="N30" s="13">
        <v>4.0</v>
      </c>
      <c r="O30" s="13">
        <v>1.0</v>
      </c>
      <c r="P30" s="13">
        <v>1.0</v>
      </c>
      <c r="Q30" s="10"/>
      <c r="R30" s="27" t="s">
        <v>36</v>
      </c>
      <c r="S30" s="27" t="s">
        <v>524</v>
      </c>
      <c r="T30" s="30">
        <v>44259.0</v>
      </c>
      <c r="U30" s="31">
        <v>0.0</v>
      </c>
      <c r="V30" s="31">
        <v>1.0</v>
      </c>
      <c r="W30" s="31">
        <v>1.0</v>
      </c>
      <c r="X30" s="31">
        <v>0.0</v>
      </c>
      <c r="Y30" s="31">
        <v>0.0</v>
      </c>
      <c r="Z30" s="31">
        <v>0.0</v>
      </c>
      <c r="AA30" s="31">
        <v>1.0</v>
      </c>
      <c r="AB30" s="31">
        <v>1.0</v>
      </c>
      <c r="AC30" s="31">
        <v>0.0</v>
      </c>
      <c r="AD30" s="31">
        <v>1.0</v>
      </c>
      <c r="AE30" s="31">
        <v>5.0</v>
      </c>
      <c r="AF30" s="31">
        <v>48.0</v>
      </c>
      <c r="AG30" s="31">
        <v>48.0</v>
      </c>
      <c r="AH30" s="13"/>
      <c r="AI30" s="10" t="s">
        <v>42</v>
      </c>
      <c r="AJ30" s="10" t="s">
        <v>798</v>
      </c>
      <c r="AK30" s="29">
        <v>44642.0</v>
      </c>
      <c r="AL30" s="13">
        <v>0.0</v>
      </c>
      <c r="AM30" s="13">
        <v>1.0</v>
      </c>
      <c r="AN30" s="13">
        <v>1.0</v>
      </c>
      <c r="AO30" s="13">
        <v>0.0</v>
      </c>
      <c r="AP30" s="13">
        <v>0.0</v>
      </c>
      <c r="AQ30" s="13">
        <v>0.0</v>
      </c>
      <c r="AR30" s="13">
        <v>1.0</v>
      </c>
      <c r="AS30" s="13">
        <v>1.0</v>
      </c>
      <c r="AT30" s="13">
        <v>0.0</v>
      </c>
      <c r="AU30" s="13">
        <v>1.0</v>
      </c>
      <c r="AV30" s="13">
        <v>5.0</v>
      </c>
      <c r="AW30" s="13">
        <v>74.0</v>
      </c>
      <c r="AX30" s="13">
        <v>74.0</v>
      </c>
    </row>
    <row r="31">
      <c r="A31" s="10" t="s">
        <v>26</v>
      </c>
      <c r="B31" s="10" t="s">
        <v>746</v>
      </c>
      <c r="C31" s="29">
        <v>43480.0</v>
      </c>
      <c r="D31" s="13">
        <v>0.0</v>
      </c>
      <c r="E31" s="13">
        <v>1.0</v>
      </c>
      <c r="F31" s="13">
        <v>1.0</v>
      </c>
      <c r="G31" s="13">
        <v>0.0</v>
      </c>
      <c r="H31" s="13">
        <v>0.0</v>
      </c>
      <c r="I31" s="13">
        <v>0.0</v>
      </c>
      <c r="J31" s="13">
        <v>0.0</v>
      </c>
      <c r="K31" s="13">
        <v>1.0</v>
      </c>
      <c r="L31" s="13">
        <v>0.0</v>
      </c>
      <c r="M31" s="13">
        <v>1.0</v>
      </c>
      <c r="N31" s="13">
        <v>4.0</v>
      </c>
      <c r="O31" s="13">
        <v>1.0</v>
      </c>
      <c r="P31" s="13">
        <v>1.0</v>
      </c>
      <c r="Q31" s="10"/>
      <c r="R31" s="27" t="s">
        <v>36</v>
      </c>
      <c r="S31" s="27" t="s">
        <v>525</v>
      </c>
      <c r="T31" s="30">
        <v>44267.0</v>
      </c>
      <c r="U31" s="31">
        <v>0.0</v>
      </c>
      <c r="V31" s="31">
        <v>1.0</v>
      </c>
      <c r="W31" s="31">
        <v>1.0</v>
      </c>
      <c r="X31" s="31">
        <v>0.0</v>
      </c>
      <c r="Y31" s="31">
        <v>0.0</v>
      </c>
      <c r="Z31" s="31">
        <v>0.0</v>
      </c>
      <c r="AA31" s="31">
        <v>1.0</v>
      </c>
      <c r="AB31" s="31">
        <v>1.0</v>
      </c>
      <c r="AC31" s="31">
        <v>0.0</v>
      </c>
      <c r="AD31" s="31">
        <v>1.0</v>
      </c>
      <c r="AE31" s="31">
        <v>5.0</v>
      </c>
      <c r="AF31" s="31">
        <v>48.0</v>
      </c>
      <c r="AG31" s="31">
        <v>48.0</v>
      </c>
      <c r="AH31" s="13"/>
      <c r="AI31" s="10" t="s">
        <v>42</v>
      </c>
      <c r="AJ31" s="10" t="s">
        <v>799</v>
      </c>
      <c r="AK31" s="29">
        <v>44676.0</v>
      </c>
      <c r="AL31" s="13">
        <v>0.0</v>
      </c>
      <c r="AM31" s="13">
        <v>1.0</v>
      </c>
      <c r="AN31" s="13">
        <v>1.0</v>
      </c>
      <c r="AO31" s="13">
        <v>0.0</v>
      </c>
      <c r="AP31" s="13">
        <v>0.0</v>
      </c>
      <c r="AQ31" s="13">
        <v>0.0</v>
      </c>
      <c r="AR31" s="13">
        <v>1.0</v>
      </c>
      <c r="AS31" s="13">
        <v>1.0</v>
      </c>
      <c r="AT31" s="13">
        <v>0.0</v>
      </c>
      <c r="AU31" s="13">
        <v>1.0</v>
      </c>
      <c r="AV31" s="13">
        <v>5.0</v>
      </c>
      <c r="AW31" s="13">
        <v>104.0</v>
      </c>
      <c r="AX31" s="13">
        <v>104.0</v>
      </c>
    </row>
    <row r="32">
      <c r="A32" s="10" t="s">
        <v>26</v>
      </c>
      <c r="B32" s="10" t="s">
        <v>749</v>
      </c>
      <c r="C32" s="29">
        <v>43481.0</v>
      </c>
      <c r="D32" s="13">
        <v>0.0</v>
      </c>
      <c r="E32" s="13">
        <v>1.0</v>
      </c>
      <c r="F32" s="13">
        <v>1.0</v>
      </c>
      <c r="G32" s="13">
        <v>0.0</v>
      </c>
      <c r="H32" s="13">
        <v>0.0</v>
      </c>
      <c r="I32" s="13">
        <v>0.0</v>
      </c>
      <c r="J32" s="13">
        <v>1.0</v>
      </c>
      <c r="K32" s="13">
        <v>1.0</v>
      </c>
      <c r="L32" s="13">
        <v>0.0</v>
      </c>
      <c r="M32" s="13">
        <v>1.0</v>
      </c>
      <c r="N32" s="13">
        <v>5.0</v>
      </c>
      <c r="O32" s="13">
        <v>1.0</v>
      </c>
      <c r="P32" s="13">
        <v>1.0</v>
      </c>
      <c r="Q32" s="10"/>
      <c r="R32" s="27" t="s">
        <v>36</v>
      </c>
      <c r="S32" s="27" t="s">
        <v>526</v>
      </c>
      <c r="T32" s="30">
        <v>44273.0</v>
      </c>
      <c r="U32" s="31">
        <v>0.0</v>
      </c>
      <c r="V32" s="31">
        <v>1.0</v>
      </c>
      <c r="W32" s="31">
        <v>1.0</v>
      </c>
      <c r="X32" s="31">
        <v>0.0</v>
      </c>
      <c r="Y32" s="31">
        <v>0.0</v>
      </c>
      <c r="Z32" s="31">
        <v>0.0</v>
      </c>
      <c r="AA32" s="31">
        <v>1.0</v>
      </c>
      <c r="AB32" s="31">
        <v>1.0</v>
      </c>
      <c r="AC32" s="31">
        <v>0.0</v>
      </c>
      <c r="AD32" s="31">
        <v>1.0</v>
      </c>
      <c r="AE32" s="31">
        <v>5.0</v>
      </c>
      <c r="AF32" s="31">
        <v>48.0</v>
      </c>
      <c r="AG32" s="31">
        <v>48.0</v>
      </c>
      <c r="AH32" s="13"/>
      <c r="AI32" s="10" t="s">
        <v>44</v>
      </c>
      <c r="AJ32" s="10" t="s">
        <v>791</v>
      </c>
      <c r="AK32" s="29">
        <v>41883.0</v>
      </c>
      <c r="AL32" s="13">
        <v>0.0</v>
      </c>
      <c r="AM32" s="13">
        <v>0.0</v>
      </c>
      <c r="AN32" s="13">
        <v>1.0</v>
      </c>
      <c r="AO32" s="13">
        <v>1.0</v>
      </c>
      <c r="AP32" s="13">
        <v>0.0</v>
      </c>
      <c r="AQ32" s="13">
        <v>0.0</v>
      </c>
      <c r="AR32" s="13">
        <v>0.0</v>
      </c>
      <c r="AS32" s="13">
        <v>0.0</v>
      </c>
      <c r="AT32" s="13">
        <v>1.0</v>
      </c>
      <c r="AU32" s="13">
        <v>1.0</v>
      </c>
      <c r="AV32" s="13">
        <v>4.0</v>
      </c>
      <c r="AW32" s="13">
        <v>48.0</v>
      </c>
      <c r="AX32" s="13">
        <v>48.0</v>
      </c>
    </row>
    <row r="33">
      <c r="A33" s="10" t="s">
        <v>26</v>
      </c>
      <c r="B33" s="10" t="s">
        <v>752</v>
      </c>
      <c r="C33" s="29">
        <v>43491.0</v>
      </c>
      <c r="D33" s="13">
        <v>0.0</v>
      </c>
      <c r="E33" s="13">
        <v>1.0</v>
      </c>
      <c r="F33" s="13">
        <v>1.0</v>
      </c>
      <c r="G33" s="13">
        <v>0.0</v>
      </c>
      <c r="H33" s="13">
        <v>0.0</v>
      </c>
      <c r="I33" s="13">
        <v>0.0</v>
      </c>
      <c r="J33" s="13">
        <v>0.0</v>
      </c>
      <c r="K33" s="13">
        <v>1.0</v>
      </c>
      <c r="L33" s="13">
        <v>0.0</v>
      </c>
      <c r="M33" s="13">
        <v>1.0</v>
      </c>
      <c r="N33" s="13">
        <v>4.0</v>
      </c>
      <c r="O33" s="13">
        <v>1.0</v>
      </c>
      <c r="P33" s="13">
        <v>1.0</v>
      </c>
      <c r="Q33" s="10"/>
      <c r="R33" s="27" t="s">
        <v>36</v>
      </c>
      <c r="S33" s="27" t="s">
        <v>527</v>
      </c>
      <c r="T33" s="30">
        <v>44274.0</v>
      </c>
      <c r="U33" s="31">
        <v>0.0</v>
      </c>
      <c r="V33" s="31">
        <v>1.0</v>
      </c>
      <c r="W33" s="31">
        <v>1.0</v>
      </c>
      <c r="X33" s="31">
        <v>0.0</v>
      </c>
      <c r="Y33" s="31">
        <v>0.0</v>
      </c>
      <c r="Z33" s="31">
        <v>0.0</v>
      </c>
      <c r="AA33" s="31">
        <v>1.0</v>
      </c>
      <c r="AB33" s="31">
        <v>1.0</v>
      </c>
      <c r="AC33" s="31">
        <v>0.0</v>
      </c>
      <c r="AD33" s="31">
        <v>1.0</v>
      </c>
      <c r="AE33" s="31">
        <v>5.0</v>
      </c>
      <c r="AF33" s="31">
        <v>48.0</v>
      </c>
      <c r="AG33" s="31">
        <v>48.0</v>
      </c>
      <c r="AH33" s="13"/>
      <c r="AI33" s="10" t="s">
        <v>44</v>
      </c>
      <c r="AJ33" s="10" t="s">
        <v>800</v>
      </c>
      <c r="AK33" s="29">
        <v>42146.0</v>
      </c>
      <c r="AL33" s="13">
        <v>0.0</v>
      </c>
      <c r="AM33" s="13">
        <v>0.0</v>
      </c>
      <c r="AN33" s="13">
        <v>1.0</v>
      </c>
      <c r="AO33" s="13">
        <v>0.0</v>
      </c>
      <c r="AP33" s="13">
        <v>0.0</v>
      </c>
      <c r="AQ33" s="13">
        <v>0.0</v>
      </c>
      <c r="AR33" s="13">
        <v>0.0</v>
      </c>
      <c r="AS33" s="13">
        <v>0.0</v>
      </c>
      <c r="AT33" s="13">
        <v>1.0</v>
      </c>
      <c r="AU33" s="13">
        <v>1.0</v>
      </c>
      <c r="AV33" s="13">
        <v>3.0</v>
      </c>
      <c r="AW33" s="13">
        <v>59.0</v>
      </c>
      <c r="AX33" s="13">
        <v>59.0</v>
      </c>
    </row>
    <row r="34">
      <c r="A34" s="10" t="s">
        <v>26</v>
      </c>
      <c r="B34" s="10" t="s">
        <v>754</v>
      </c>
      <c r="C34" s="29">
        <v>43491.0</v>
      </c>
      <c r="D34" s="13">
        <v>0.0</v>
      </c>
      <c r="E34" s="13">
        <v>1.0</v>
      </c>
      <c r="F34" s="13">
        <v>1.0</v>
      </c>
      <c r="G34" s="13">
        <v>0.0</v>
      </c>
      <c r="H34" s="13">
        <v>0.0</v>
      </c>
      <c r="I34" s="13">
        <v>0.0</v>
      </c>
      <c r="J34" s="13">
        <v>0.0</v>
      </c>
      <c r="K34" s="13">
        <v>1.0</v>
      </c>
      <c r="L34" s="13">
        <v>0.0</v>
      </c>
      <c r="M34" s="13">
        <v>1.0</v>
      </c>
      <c r="N34" s="13">
        <v>4.0</v>
      </c>
      <c r="O34" s="13">
        <v>1.0</v>
      </c>
      <c r="P34" s="13">
        <v>1.0</v>
      </c>
      <c r="Q34" s="10"/>
      <c r="R34" s="27" t="s">
        <v>36</v>
      </c>
      <c r="S34" s="27" t="s">
        <v>528</v>
      </c>
      <c r="T34" s="30">
        <v>44284.0</v>
      </c>
      <c r="U34" s="31">
        <v>0.0</v>
      </c>
      <c r="V34" s="31">
        <v>1.0</v>
      </c>
      <c r="W34" s="31">
        <v>1.0</v>
      </c>
      <c r="X34" s="31">
        <v>0.0</v>
      </c>
      <c r="Y34" s="31">
        <v>0.0</v>
      </c>
      <c r="Z34" s="31">
        <v>0.0</v>
      </c>
      <c r="AA34" s="31">
        <v>1.0</v>
      </c>
      <c r="AB34" s="31">
        <v>1.0</v>
      </c>
      <c r="AC34" s="31">
        <v>0.0</v>
      </c>
      <c r="AD34" s="31">
        <v>1.0</v>
      </c>
      <c r="AE34" s="31">
        <v>5.0</v>
      </c>
      <c r="AF34" s="31">
        <v>47.0</v>
      </c>
      <c r="AG34" s="31">
        <v>47.0</v>
      </c>
      <c r="AH34" s="13"/>
      <c r="AI34" s="10" t="s">
        <v>44</v>
      </c>
      <c r="AJ34" s="10" t="s">
        <v>801</v>
      </c>
      <c r="AK34" s="29">
        <v>42300.0</v>
      </c>
      <c r="AL34" s="13">
        <v>0.0</v>
      </c>
      <c r="AM34" s="13">
        <v>0.0</v>
      </c>
      <c r="AN34" s="13">
        <v>1.0</v>
      </c>
      <c r="AO34" s="13">
        <v>0.0</v>
      </c>
      <c r="AP34" s="13">
        <v>0.0</v>
      </c>
      <c r="AQ34" s="13">
        <v>0.0</v>
      </c>
      <c r="AR34" s="13">
        <v>0.0</v>
      </c>
      <c r="AS34" s="13">
        <v>0.0</v>
      </c>
      <c r="AT34" s="13">
        <v>1.0</v>
      </c>
      <c r="AU34" s="13">
        <v>1.0</v>
      </c>
      <c r="AV34" s="13">
        <v>4.0</v>
      </c>
      <c r="AW34" s="13">
        <v>75.0</v>
      </c>
      <c r="AX34" s="13">
        <v>75.0</v>
      </c>
    </row>
    <row r="35">
      <c r="A35" s="10" t="s">
        <v>26</v>
      </c>
      <c r="B35" s="10" t="s">
        <v>756</v>
      </c>
      <c r="C35" s="29">
        <v>43492.0</v>
      </c>
      <c r="D35" s="13">
        <v>0.0</v>
      </c>
      <c r="E35" s="13">
        <v>1.0</v>
      </c>
      <c r="F35" s="13">
        <v>1.0</v>
      </c>
      <c r="G35" s="13">
        <v>0.0</v>
      </c>
      <c r="H35" s="13">
        <v>0.0</v>
      </c>
      <c r="I35" s="13">
        <v>0.0</v>
      </c>
      <c r="J35" s="13">
        <v>0.0</v>
      </c>
      <c r="K35" s="13">
        <v>1.0</v>
      </c>
      <c r="L35" s="13">
        <v>0.0</v>
      </c>
      <c r="M35" s="13">
        <v>1.0</v>
      </c>
      <c r="N35" s="13">
        <v>4.0</v>
      </c>
      <c r="O35" s="13">
        <v>1.0</v>
      </c>
      <c r="P35" s="13">
        <v>1.0</v>
      </c>
      <c r="Q35" s="10"/>
      <c r="R35" s="27" t="s">
        <v>36</v>
      </c>
      <c r="S35" s="27" t="s">
        <v>529</v>
      </c>
      <c r="T35" s="30">
        <v>44292.0</v>
      </c>
      <c r="U35" s="31">
        <v>0.0</v>
      </c>
      <c r="V35" s="31">
        <v>1.0</v>
      </c>
      <c r="W35" s="31">
        <v>1.0</v>
      </c>
      <c r="X35" s="31">
        <v>0.0</v>
      </c>
      <c r="Y35" s="31">
        <v>0.0</v>
      </c>
      <c r="Z35" s="31">
        <v>0.0</v>
      </c>
      <c r="AA35" s="31">
        <v>1.0</v>
      </c>
      <c r="AB35" s="31">
        <v>1.0</v>
      </c>
      <c r="AC35" s="31">
        <v>0.0</v>
      </c>
      <c r="AD35" s="31">
        <v>1.0</v>
      </c>
      <c r="AE35" s="31">
        <v>5.0</v>
      </c>
      <c r="AF35" s="31">
        <v>47.0</v>
      </c>
      <c r="AG35" s="31">
        <v>47.0</v>
      </c>
      <c r="AH35" s="13"/>
      <c r="AI35" s="10" t="s">
        <v>44</v>
      </c>
      <c r="AJ35" s="10" t="s">
        <v>802</v>
      </c>
      <c r="AK35" s="29">
        <v>42362.0</v>
      </c>
      <c r="AL35" s="13">
        <v>0.0</v>
      </c>
      <c r="AM35" s="13">
        <v>0.0</v>
      </c>
      <c r="AN35" s="13">
        <v>1.0</v>
      </c>
      <c r="AO35" s="13">
        <v>1.0</v>
      </c>
      <c r="AP35" s="13">
        <v>1.0</v>
      </c>
      <c r="AQ35" s="13">
        <v>0.0</v>
      </c>
      <c r="AR35" s="13">
        <v>0.0</v>
      </c>
      <c r="AS35" s="13">
        <v>1.0</v>
      </c>
      <c r="AT35" s="13">
        <v>1.0</v>
      </c>
      <c r="AU35" s="13">
        <v>1.0</v>
      </c>
      <c r="AV35" s="13">
        <v>6.0</v>
      </c>
      <c r="AW35" s="13">
        <v>77.0</v>
      </c>
      <c r="AX35" s="13">
        <v>77.0</v>
      </c>
    </row>
    <row r="36">
      <c r="A36" s="10" t="s">
        <v>26</v>
      </c>
      <c r="B36" s="10" t="s">
        <v>758</v>
      </c>
      <c r="C36" s="29">
        <v>43494.0</v>
      </c>
      <c r="D36" s="13">
        <v>0.0</v>
      </c>
      <c r="E36" s="13">
        <v>1.0</v>
      </c>
      <c r="F36" s="13">
        <v>1.0</v>
      </c>
      <c r="G36" s="13">
        <v>0.0</v>
      </c>
      <c r="H36" s="13">
        <v>0.0</v>
      </c>
      <c r="I36" s="13">
        <v>0.0</v>
      </c>
      <c r="J36" s="13">
        <v>1.0</v>
      </c>
      <c r="K36" s="13">
        <v>1.0</v>
      </c>
      <c r="L36" s="13">
        <v>0.0</v>
      </c>
      <c r="M36" s="13">
        <v>1.0</v>
      </c>
      <c r="N36" s="13">
        <v>5.0</v>
      </c>
      <c r="O36" s="13">
        <v>1.0</v>
      </c>
      <c r="P36" s="13">
        <v>1.0</v>
      </c>
      <c r="Q36" s="10"/>
      <c r="R36" s="27" t="s">
        <v>36</v>
      </c>
      <c r="S36" s="27" t="s">
        <v>530</v>
      </c>
      <c r="T36" s="30">
        <v>44301.0</v>
      </c>
      <c r="U36" s="31">
        <v>0.0</v>
      </c>
      <c r="V36" s="31">
        <v>1.0</v>
      </c>
      <c r="W36" s="31">
        <v>1.0</v>
      </c>
      <c r="X36" s="31">
        <v>0.0</v>
      </c>
      <c r="Y36" s="31">
        <v>0.0</v>
      </c>
      <c r="Z36" s="31">
        <v>0.0</v>
      </c>
      <c r="AA36" s="31">
        <v>1.0</v>
      </c>
      <c r="AB36" s="31">
        <v>1.0</v>
      </c>
      <c r="AC36" s="31">
        <v>0.0</v>
      </c>
      <c r="AD36" s="31">
        <v>1.0</v>
      </c>
      <c r="AE36" s="31">
        <v>5.0</v>
      </c>
      <c r="AF36" s="31">
        <v>47.0</v>
      </c>
      <c r="AG36" s="31">
        <v>47.0</v>
      </c>
      <c r="AH36" s="13"/>
      <c r="AI36" s="10" t="s">
        <v>44</v>
      </c>
      <c r="AJ36" s="10" t="s">
        <v>803</v>
      </c>
      <c r="AK36" s="29">
        <v>42500.0</v>
      </c>
      <c r="AL36" s="13">
        <v>0.0</v>
      </c>
      <c r="AM36" s="13">
        <v>0.0</v>
      </c>
      <c r="AN36" s="13">
        <v>1.0</v>
      </c>
      <c r="AO36" s="13">
        <v>1.0</v>
      </c>
      <c r="AP36" s="13">
        <v>1.0</v>
      </c>
      <c r="AQ36" s="13">
        <v>0.0</v>
      </c>
      <c r="AR36" s="13">
        <v>0.0</v>
      </c>
      <c r="AS36" s="13">
        <v>0.0</v>
      </c>
      <c r="AT36" s="13">
        <v>1.0</v>
      </c>
      <c r="AU36" s="13">
        <v>1.0</v>
      </c>
      <c r="AV36" s="13">
        <v>5.0</v>
      </c>
      <c r="AW36" s="13">
        <v>89.0</v>
      </c>
      <c r="AX36" s="13">
        <v>89.0</v>
      </c>
    </row>
    <row r="37">
      <c r="A37" s="10" t="s">
        <v>26</v>
      </c>
      <c r="B37" s="10" t="s">
        <v>760</v>
      </c>
      <c r="C37" s="29">
        <v>43497.0</v>
      </c>
      <c r="D37" s="13">
        <v>0.0</v>
      </c>
      <c r="E37" s="13">
        <v>1.0</v>
      </c>
      <c r="F37" s="13">
        <v>1.0</v>
      </c>
      <c r="G37" s="13">
        <v>0.0</v>
      </c>
      <c r="H37" s="13">
        <v>0.0</v>
      </c>
      <c r="I37" s="13">
        <v>0.0</v>
      </c>
      <c r="J37" s="13">
        <v>1.0</v>
      </c>
      <c r="K37" s="13">
        <v>1.0</v>
      </c>
      <c r="L37" s="13">
        <v>0.0</v>
      </c>
      <c r="M37" s="13">
        <v>1.0</v>
      </c>
      <c r="N37" s="13">
        <v>5.0</v>
      </c>
      <c r="O37" s="13">
        <v>1.0</v>
      </c>
      <c r="P37" s="13">
        <v>1.0</v>
      </c>
      <c r="Q37" s="10"/>
      <c r="R37" s="27" t="s">
        <v>36</v>
      </c>
      <c r="S37" s="27" t="s">
        <v>531</v>
      </c>
      <c r="T37" s="30">
        <v>44304.0</v>
      </c>
      <c r="U37" s="31">
        <v>0.0</v>
      </c>
      <c r="V37" s="31">
        <v>1.0</v>
      </c>
      <c r="W37" s="31">
        <v>1.0</v>
      </c>
      <c r="X37" s="31">
        <v>0.0</v>
      </c>
      <c r="Y37" s="31">
        <v>0.0</v>
      </c>
      <c r="Z37" s="31">
        <v>0.0</v>
      </c>
      <c r="AA37" s="31">
        <v>1.0</v>
      </c>
      <c r="AB37" s="31">
        <v>1.0</v>
      </c>
      <c r="AC37" s="31">
        <v>0.0</v>
      </c>
      <c r="AD37" s="31">
        <v>1.0</v>
      </c>
      <c r="AE37" s="31">
        <v>5.0</v>
      </c>
      <c r="AF37" s="31">
        <v>47.0</v>
      </c>
      <c r="AG37" s="31">
        <v>47.0</v>
      </c>
      <c r="AH37" s="13"/>
      <c r="AI37" s="10" t="s">
        <v>44</v>
      </c>
      <c r="AJ37" s="10" t="s">
        <v>804</v>
      </c>
      <c r="AK37" s="29">
        <v>42640.0</v>
      </c>
      <c r="AL37" s="13">
        <v>0.0</v>
      </c>
      <c r="AM37" s="13">
        <v>0.0</v>
      </c>
      <c r="AN37" s="13">
        <v>1.0</v>
      </c>
      <c r="AO37" s="13">
        <v>1.0</v>
      </c>
      <c r="AP37" s="13">
        <v>1.0</v>
      </c>
      <c r="AQ37" s="13">
        <v>0.0</v>
      </c>
      <c r="AR37" s="13">
        <v>0.0</v>
      </c>
      <c r="AS37" s="13">
        <v>1.0</v>
      </c>
      <c r="AT37" s="13">
        <v>0.0</v>
      </c>
      <c r="AU37" s="13">
        <v>1.0</v>
      </c>
      <c r="AV37" s="13">
        <v>5.0</v>
      </c>
      <c r="AW37" s="13">
        <v>104.0</v>
      </c>
      <c r="AX37" s="13">
        <v>104.0</v>
      </c>
    </row>
    <row r="38">
      <c r="A38" s="10" t="s">
        <v>26</v>
      </c>
      <c r="B38" s="10" t="s">
        <v>763</v>
      </c>
      <c r="C38" s="29">
        <v>43505.0</v>
      </c>
      <c r="D38" s="13">
        <v>0.0</v>
      </c>
      <c r="E38" s="13">
        <v>1.0</v>
      </c>
      <c r="F38" s="13">
        <v>1.0</v>
      </c>
      <c r="G38" s="13">
        <v>0.0</v>
      </c>
      <c r="H38" s="13">
        <v>0.0</v>
      </c>
      <c r="I38" s="13">
        <v>0.0</v>
      </c>
      <c r="J38" s="13">
        <v>0.0</v>
      </c>
      <c r="K38" s="13">
        <v>1.0</v>
      </c>
      <c r="L38" s="13">
        <v>0.0</v>
      </c>
      <c r="M38" s="13">
        <v>1.0</v>
      </c>
      <c r="N38" s="13">
        <v>4.0</v>
      </c>
      <c r="O38" s="13">
        <v>1.0</v>
      </c>
      <c r="P38" s="13">
        <v>1.0</v>
      </c>
      <c r="Q38" s="10"/>
      <c r="R38" s="27" t="s">
        <v>36</v>
      </c>
      <c r="S38" s="27" t="s">
        <v>532</v>
      </c>
      <c r="T38" s="30">
        <v>44321.0</v>
      </c>
      <c r="U38" s="31">
        <v>1.0</v>
      </c>
      <c r="V38" s="31">
        <v>1.0</v>
      </c>
      <c r="W38" s="31">
        <v>1.0</v>
      </c>
      <c r="X38" s="31">
        <v>1.0</v>
      </c>
      <c r="Y38" s="31">
        <v>0.0</v>
      </c>
      <c r="Z38" s="31">
        <v>1.0</v>
      </c>
      <c r="AA38" s="31">
        <v>1.0</v>
      </c>
      <c r="AB38" s="31">
        <v>1.0</v>
      </c>
      <c r="AC38" s="31">
        <v>0.0</v>
      </c>
      <c r="AD38" s="31">
        <v>1.0</v>
      </c>
      <c r="AE38" s="31">
        <v>8.0</v>
      </c>
      <c r="AF38" s="31">
        <v>47.0</v>
      </c>
      <c r="AG38" s="31">
        <v>47.0</v>
      </c>
      <c r="AH38" s="13"/>
      <c r="AI38" s="10" t="s">
        <v>44</v>
      </c>
      <c r="AJ38" s="10" t="s">
        <v>805</v>
      </c>
      <c r="AK38" s="29">
        <v>42817.0</v>
      </c>
      <c r="AL38" s="13">
        <v>0.0</v>
      </c>
      <c r="AM38" s="13">
        <v>0.0</v>
      </c>
      <c r="AN38" s="13">
        <v>1.0</v>
      </c>
      <c r="AO38" s="13">
        <v>1.0</v>
      </c>
      <c r="AP38" s="13">
        <v>0.0</v>
      </c>
      <c r="AQ38" s="13">
        <v>0.0</v>
      </c>
      <c r="AR38" s="13">
        <v>0.0</v>
      </c>
      <c r="AS38" s="13">
        <v>0.0</v>
      </c>
      <c r="AT38" s="13">
        <v>1.0</v>
      </c>
      <c r="AU38" s="13">
        <v>1.0</v>
      </c>
      <c r="AV38" s="13">
        <v>5.0</v>
      </c>
      <c r="AW38" s="13">
        <v>115.0</v>
      </c>
      <c r="AX38" s="13">
        <v>115.0</v>
      </c>
    </row>
    <row r="39">
      <c r="A39" s="10" t="s">
        <v>26</v>
      </c>
      <c r="B39" s="10" t="s">
        <v>765</v>
      </c>
      <c r="C39" s="29">
        <v>43505.0</v>
      </c>
      <c r="D39" s="13">
        <v>0.0</v>
      </c>
      <c r="E39" s="13">
        <v>1.0</v>
      </c>
      <c r="F39" s="13">
        <v>1.0</v>
      </c>
      <c r="G39" s="13">
        <v>0.0</v>
      </c>
      <c r="H39" s="13">
        <v>0.0</v>
      </c>
      <c r="I39" s="13">
        <v>0.0</v>
      </c>
      <c r="J39" s="13">
        <v>0.0</v>
      </c>
      <c r="K39" s="13">
        <v>1.0</v>
      </c>
      <c r="L39" s="13">
        <v>0.0</v>
      </c>
      <c r="M39" s="13">
        <v>1.0</v>
      </c>
      <c r="N39" s="13">
        <v>4.0</v>
      </c>
      <c r="O39" s="13">
        <v>1.0</v>
      </c>
      <c r="P39" s="13">
        <v>1.0</v>
      </c>
      <c r="Q39" s="10"/>
      <c r="R39" s="27" t="s">
        <v>36</v>
      </c>
      <c r="S39" s="27" t="s">
        <v>533</v>
      </c>
      <c r="T39" s="30">
        <v>44368.0</v>
      </c>
      <c r="U39" s="31">
        <v>0.0</v>
      </c>
      <c r="V39" s="31">
        <v>0.0</v>
      </c>
      <c r="W39" s="31">
        <v>1.0</v>
      </c>
      <c r="X39" s="31">
        <v>1.0</v>
      </c>
      <c r="Y39" s="31">
        <v>0.0</v>
      </c>
      <c r="Z39" s="31">
        <v>0.0</v>
      </c>
      <c r="AA39" s="31">
        <v>0.0</v>
      </c>
      <c r="AB39" s="31">
        <v>1.0</v>
      </c>
      <c r="AC39" s="31">
        <v>1.0</v>
      </c>
      <c r="AD39" s="31">
        <v>1.0</v>
      </c>
      <c r="AE39" s="31">
        <v>5.0</v>
      </c>
      <c r="AF39" s="31">
        <v>47.0</v>
      </c>
      <c r="AG39" s="31">
        <v>47.0</v>
      </c>
      <c r="AH39" s="13"/>
      <c r="AI39" s="10" t="s">
        <v>44</v>
      </c>
      <c r="AJ39" s="10" t="s">
        <v>806</v>
      </c>
      <c r="AK39" s="29">
        <v>43047.0</v>
      </c>
      <c r="AL39" s="13">
        <v>0.0</v>
      </c>
      <c r="AM39" s="13">
        <v>1.0</v>
      </c>
      <c r="AN39" s="13">
        <v>1.0</v>
      </c>
      <c r="AO39" s="13">
        <v>0.0</v>
      </c>
      <c r="AP39" s="13">
        <v>0.0</v>
      </c>
      <c r="AQ39" s="13">
        <v>0.0</v>
      </c>
      <c r="AR39" s="13">
        <v>1.0</v>
      </c>
      <c r="AS39" s="13">
        <v>1.0</v>
      </c>
      <c r="AT39" s="13">
        <v>0.0</v>
      </c>
      <c r="AU39" s="13">
        <v>1.0</v>
      </c>
      <c r="AV39" s="13">
        <v>5.0</v>
      </c>
      <c r="AW39" s="13">
        <v>124.0</v>
      </c>
      <c r="AX39" s="13">
        <v>124.0</v>
      </c>
    </row>
    <row r="40">
      <c r="A40" s="10" t="s">
        <v>26</v>
      </c>
      <c r="B40" s="10" t="s">
        <v>767</v>
      </c>
      <c r="C40" s="29">
        <v>43511.0</v>
      </c>
      <c r="D40" s="13">
        <v>0.0</v>
      </c>
      <c r="E40" s="13">
        <v>1.0</v>
      </c>
      <c r="F40" s="13">
        <v>1.0</v>
      </c>
      <c r="G40" s="13">
        <v>0.0</v>
      </c>
      <c r="H40" s="13">
        <v>0.0</v>
      </c>
      <c r="I40" s="13">
        <v>0.0</v>
      </c>
      <c r="J40" s="13">
        <v>1.0</v>
      </c>
      <c r="K40" s="13">
        <v>1.0</v>
      </c>
      <c r="L40" s="13">
        <v>0.0</v>
      </c>
      <c r="M40" s="13">
        <v>1.0</v>
      </c>
      <c r="N40" s="13">
        <v>5.0</v>
      </c>
      <c r="O40" s="13">
        <v>1.0</v>
      </c>
      <c r="P40" s="13">
        <v>1.0</v>
      </c>
      <c r="Q40" s="10"/>
      <c r="R40" s="27" t="s">
        <v>36</v>
      </c>
      <c r="S40" s="27" t="s">
        <v>534</v>
      </c>
      <c r="T40" s="30">
        <v>44459.0</v>
      </c>
      <c r="U40" s="31">
        <v>0.0</v>
      </c>
      <c r="V40" s="31">
        <v>1.0</v>
      </c>
      <c r="W40" s="31">
        <v>1.0</v>
      </c>
      <c r="X40" s="31">
        <v>1.0</v>
      </c>
      <c r="Y40" s="31">
        <v>0.0</v>
      </c>
      <c r="Z40" s="31">
        <v>0.0</v>
      </c>
      <c r="AA40" s="31">
        <v>1.0</v>
      </c>
      <c r="AB40" s="31">
        <v>1.0</v>
      </c>
      <c r="AC40" s="31">
        <v>1.0</v>
      </c>
      <c r="AD40" s="31">
        <v>1.0</v>
      </c>
      <c r="AE40" s="31">
        <v>7.0</v>
      </c>
      <c r="AF40" s="31">
        <v>47.0</v>
      </c>
      <c r="AG40" s="31">
        <v>47.0</v>
      </c>
      <c r="AH40" s="13"/>
      <c r="AI40" s="10" t="s">
        <v>44</v>
      </c>
      <c r="AJ40" s="10" t="s">
        <v>807</v>
      </c>
      <c r="AK40" s="29">
        <v>43062.0</v>
      </c>
      <c r="AL40" s="13">
        <v>0.0</v>
      </c>
      <c r="AM40" s="13">
        <v>0.0</v>
      </c>
      <c r="AN40" s="13">
        <v>1.0</v>
      </c>
      <c r="AO40" s="13">
        <v>1.0</v>
      </c>
      <c r="AP40" s="13">
        <v>0.0</v>
      </c>
      <c r="AQ40" s="13">
        <v>0.0</v>
      </c>
      <c r="AR40" s="13">
        <v>0.0</v>
      </c>
      <c r="AS40" s="13">
        <v>0.0</v>
      </c>
      <c r="AT40" s="13">
        <v>0.0</v>
      </c>
      <c r="AU40" s="13">
        <v>1.0</v>
      </c>
      <c r="AV40" s="13">
        <v>3.0</v>
      </c>
      <c r="AW40" s="13">
        <v>125.0</v>
      </c>
      <c r="AX40" s="13">
        <v>125.0</v>
      </c>
    </row>
    <row r="41">
      <c r="A41" s="10" t="s">
        <v>26</v>
      </c>
      <c r="B41" s="10" t="s">
        <v>769</v>
      </c>
      <c r="C41" s="29">
        <v>43517.0</v>
      </c>
      <c r="D41" s="13">
        <v>0.0</v>
      </c>
      <c r="E41" s="13">
        <v>1.0</v>
      </c>
      <c r="F41" s="13">
        <v>1.0</v>
      </c>
      <c r="G41" s="13">
        <v>0.0</v>
      </c>
      <c r="H41" s="13">
        <v>0.0</v>
      </c>
      <c r="I41" s="13">
        <v>0.0</v>
      </c>
      <c r="J41" s="13">
        <v>0.0</v>
      </c>
      <c r="K41" s="13">
        <v>1.0</v>
      </c>
      <c r="L41" s="13">
        <v>0.0</v>
      </c>
      <c r="M41" s="13">
        <v>1.0</v>
      </c>
      <c r="N41" s="13">
        <v>4.0</v>
      </c>
      <c r="O41" s="13">
        <v>1.0</v>
      </c>
      <c r="P41" s="13">
        <v>1.0</v>
      </c>
      <c r="Q41" s="10"/>
      <c r="R41" s="27" t="s">
        <v>36</v>
      </c>
      <c r="S41" s="27" t="s">
        <v>535</v>
      </c>
      <c r="T41" s="30">
        <v>44642.0</v>
      </c>
      <c r="U41" s="31">
        <v>0.0</v>
      </c>
      <c r="V41" s="31">
        <v>1.0</v>
      </c>
      <c r="W41" s="31">
        <v>1.0</v>
      </c>
      <c r="X41" s="31">
        <v>0.0</v>
      </c>
      <c r="Y41" s="31">
        <v>0.0</v>
      </c>
      <c r="Z41" s="31">
        <v>0.0</v>
      </c>
      <c r="AA41" s="31">
        <v>1.0</v>
      </c>
      <c r="AB41" s="31">
        <v>1.0</v>
      </c>
      <c r="AC41" s="31">
        <v>0.0</v>
      </c>
      <c r="AD41" s="31">
        <v>1.0</v>
      </c>
      <c r="AE41" s="31">
        <v>5.0</v>
      </c>
      <c r="AF41" s="31">
        <v>11.0</v>
      </c>
      <c r="AG41" s="31">
        <v>11.0</v>
      </c>
      <c r="AH41" s="13"/>
      <c r="AI41" s="10" t="s">
        <v>44</v>
      </c>
      <c r="AJ41" s="10" t="s">
        <v>808</v>
      </c>
      <c r="AK41" s="29">
        <v>43221.0</v>
      </c>
      <c r="AL41" s="13">
        <v>0.0</v>
      </c>
      <c r="AM41" s="13">
        <v>0.0</v>
      </c>
      <c r="AN41" s="13">
        <v>1.0</v>
      </c>
      <c r="AO41" s="13">
        <v>1.0</v>
      </c>
      <c r="AP41" s="13">
        <v>0.0</v>
      </c>
      <c r="AQ41" s="13">
        <v>0.0</v>
      </c>
      <c r="AR41" s="13">
        <v>0.0</v>
      </c>
      <c r="AS41" s="13">
        <v>0.0</v>
      </c>
      <c r="AT41" s="13">
        <v>0.0</v>
      </c>
      <c r="AU41" s="13">
        <v>1.0</v>
      </c>
      <c r="AV41" s="13">
        <v>3.0</v>
      </c>
      <c r="AW41" s="13">
        <v>127.0</v>
      </c>
      <c r="AX41" s="13">
        <v>127.0</v>
      </c>
    </row>
    <row r="42">
      <c r="A42" s="10" t="s">
        <v>26</v>
      </c>
      <c r="B42" s="10" t="s">
        <v>745</v>
      </c>
      <c r="C42" s="29">
        <v>43519.0</v>
      </c>
      <c r="D42" s="13">
        <v>0.0</v>
      </c>
      <c r="E42" s="13">
        <v>1.0</v>
      </c>
      <c r="F42" s="13">
        <v>1.0</v>
      </c>
      <c r="G42" s="13">
        <v>0.0</v>
      </c>
      <c r="H42" s="13">
        <v>0.0</v>
      </c>
      <c r="I42" s="13">
        <v>0.0</v>
      </c>
      <c r="J42" s="13">
        <v>0.0</v>
      </c>
      <c r="K42" s="13">
        <v>1.0</v>
      </c>
      <c r="L42" s="13">
        <v>0.0</v>
      </c>
      <c r="M42" s="13">
        <v>1.0</v>
      </c>
      <c r="N42" s="13">
        <v>4.0</v>
      </c>
      <c r="O42" s="13">
        <v>2.0</v>
      </c>
      <c r="P42" s="13">
        <v>2.0</v>
      </c>
      <c r="Q42" s="10"/>
      <c r="R42" s="27" t="s">
        <v>36</v>
      </c>
      <c r="S42" s="27" t="s">
        <v>536</v>
      </c>
      <c r="T42" s="30">
        <v>44663.0</v>
      </c>
      <c r="U42" s="31">
        <v>0.0</v>
      </c>
      <c r="V42" s="31">
        <v>1.0</v>
      </c>
      <c r="W42" s="31">
        <v>1.0</v>
      </c>
      <c r="X42" s="31">
        <v>0.0</v>
      </c>
      <c r="Y42" s="31">
        <v>0.0</v>
      </c>
      <c r="Z42" s="31">
        <v>0.0</v>
      </c>
      <c r="AA42" s="31">
        <v>0.0</v>
      </c>
      <c r="AB42" s="31">
        <v>1.0</v>
      </c>
      <c r="AC42" s="31">
        <v>0.0</v>
      </c>
      <c r="AD42" s="31">
        <v>1.0</v>
      </c>
      <c r="AE42" s="31">
        <v>4.0</v>
      </c>
      <c r="AF42" s="31">
        <v>11.0</v>
      </c>
      <c r="AG42" s="31">
        <v>11.0</v>
      </c>
      <c r="AH42" s="13"/>
      <c r="AI42" s="10" t="s">
        <v>44</v>
      </c>
      <c r="AJ42" s="10" t="s">
        <v>809</v>
      </c>
      <c r="AK42" s="29">
        <v>43423.0</v>
      </c>
      <c r="AL42" s="13">
        <v>0.0</v>
      </c>
      <c r="AM42" s="13">
        <v>0.0</v>
      </c>
      <c r="AN42" s="13">
        <v>1.0</v>
      </c>
      <c r="AO42" s="13">
        <v>1.0</v>
      </c>
      <c r="AP42" s="13">
        <v>0.0</v>
      </c>
      <c r="AQ42" s="13">
        <v>0.0</v>
      </c>
      <c r="AR42" s="13">
        <v>0.0</v>
      </c>
      <c r="AS42" s="13">
        <v>0.0</v>
      </c>
      <c r="AT42" s="13">
        <v>0.0</v>
      </c>
      <c r="AU42" s="13">
        <v>1.0</v>
      </c>
      <c r="AV42" s="13">
        <v>4.0</v>
      </c>
      <c r="AW42" s="13">
        <v>143.0</v>
      </c>
      <c r="AX42" s="13">
        <v>143.0</v>
      </c>
    </row>
    <row r="43">
      <c r="A43" s="10" t="s">
        <v>26</v>
      </c>
      <c r="B43" s="10" t="s">
        <v>774</v>
      </c>
      <c r="C43" s="29">
        <v>43520.0</v>
      </c>
      <c r="D43" s="13">
        <v>0.0</v>
      </c>
      <c r="E43" s="13">
        <v>1.0</v>
      </c>
      <c r="F43" s="13">
        <v>1.0</v>
      </c>
      <c r="G43" s="13">
        <v>0.0</v>
      </c>
      <c r="H43" s="13">
        <v>0.0</v>
      </c>
      <c r="I43" s="13">
        <v>0.0</v>
      </c>
      <c r="J43" s="13">
        <v>1.0</v>
      </c>
      <c r="K43" s="13">
        <v>1.0</v>
      </c>
      <c r="L43" s="13">
        <v>0.0</v>
      </c>
      <c r="M43" s="13">
        <v>1.0</v>
      </c>
      <c r="N43" s="13">
        <v>5.0</v>
      </c>
      <c r="O43" s="13">
        <v>2.0</v>
      </c>
      <c r="P43" s="13">
        <v>2.0</v>
      </c>
      <c r="Q43" s="10"/>
      <c r="R43" s="27" t="s">
        <v>36</v>
      </c>
      <c r="S43" s="27" t="s">
        <v>537</v>
      </c>
      <c r="T43" s="30">
        <v>44666.0</v>
      </c>
      <c r="U43" s="31">
        <v>0.0</v>
      </c>
      <c r="V43" s="31">
        <v>1.0</v>
      </c>
      <c r="W43" s="31">
        <v>1.0</v>
      </c>
      <c r="X43" s="31">
        <v>0.0</v>
      </c>
      <c r="Y43" s="31">
        <v>0.0</v>
      </c>
      <c r="Z43" s="31">
        <v>0.0</v>
      </c>
      <c r="AA43" s="31">
        <v>0.0</v>
      </c>
      <c r="AB43" s="31">
        <v>1.0</v>
      </c>
      <c r="AC43" s="31">
        <v>0.0</v>
      </c>
      <c r="AD43" s="31">
        <v>1.0</v>
      </c>
      <c r="AE43" s="31">
        <v>4.0</v>
      </c>
      <c r="AF43" s="31">
        <v>11.0</v>
      </c>
      <c r="AG43" s="31">
        <v>11.0</v>
      </c>
      <c r="AH43" s="13"/>
      <c r="AI43" s="10" t="s">
        <v>44</v>
      </c>
      <c r="AJ43" s="10" t="s">
        <v>810</v>
      </c>
      <c r="AK43" s="29">
        <v>43604.0</v>
      </c>
      <c r="AL43" s="13">
        <v>0.0</v>
      </c>
      <c r="AM43" s="13">
        <v>1.0</v>
      </c>
      <c r="AN43" s="13">
        <v>1.0</v>
      </c>
      <c r="AO43" s="13">
        <v>0.0</v>
      </c>
      <c r="AP43" s="13">
        <v>0.0</v>
      </c>
      <c r="AQ43" s="13">
        <v>0.0</v>
      </c>
      <c r="AR43" s="13">
        <v>1.0</v>
      </c>
      <c r="AS43" s="13">
        <v>1.0</v>
      </c>
      <c r="AT43" s="13">
        <v>0.0</v>
      </c>
      <c r="AU43" s="13">
        <v>1.0</v>
      </c>
      <c r="AV43" s="13">
        <v>5.0</v>
      </c>
      <c r="AW43" s="13">
        <v>149.0</v>
      </c>
      <c r="AX43" s="13">
        <v>149.0</v>
      </c>
    </row>
    <row r="44">
      <c r="A44" s="10" t="s">
        <v>26</v>
      </c>
      <c r="B44" s="10" t="s">
        <v>776</v>
      </c>
      <c r="C44" s="29">
        <v>43528.0</v>
      </c>
      <c r="D44" s="13">
        <v>0.0</v>
      </c>
      <c r="E44" s="13">
        <v>1.0</v>
      </c>
      <c r="F44" s="13">
        <v>1.0</v>
      </c>
      <c r="G44" s="13">
        <v>0.0</v>
      </c>
      <c r="H44" s="13">
        <v>0.0</v>
      </c>
      <c r="I44" s="13">
        <v>0.0</v>
      </c>
      <c r="J44" s="13">
        <v>1.0</v>
      </c>
      <c r="K44" s="13">
        <v>1.0</v>
      </c>
      <c r="L44" s="13">
        <v>0.0</v>
      </c>
      <c r="M44" s="13">
        <v>1.0</v>
      </c>
      <c r="N44" s="13">
        <v>5.0</v>
      </c>
      <c r="O44" s="13">
        <v>3.0</v>
      </c>
      <c r="P44" s="13">
        <v>3.0</v>
      </c>
      <c r="Q44" s="10"/>
      <c r="R44" s="27" t="s">
        <v>36</v>
      </c>
      <c r="S44" s="27" t="s">
        <v>538</v>
      </c>
      <c r="T44" s="30">
        <v>44678.0</v>
      </c>
      <c r="U44" s="31">
        <v>0.0</v>
      </c>
      <c r="V44" s="31">
        <v>1.0</v>
      </c>
      <c r="W44" s="31">
        <v>1.0</v>
      </c>
      <c r="X44" s="31">
        <v>0.0</v>
      </c>
      <c r="Y44" s="31">
        <v>0.0</v>
      </c>
      <c r="Z44" s="31">
        <v>0.0</v>
      </c>
      <c r="AA44" s="31">
        <v>1.0</v>
      </c>
      <c r="AB44" s="31">
        <v>1.0</v>
      </c>
      <c r="AC44" s="31">
        <v>1.0</v>
      </c>
      <c r="AD44" s="31">
        <v>1.0</v>
      </c>
      <c r="AE44" s="31">
        <v>6.0</v>
      </c>
      <c r="AF44" s="31">
        <v>11.0</v>
      </c>
      <c r="AG44" s="31">
        <v>11.0</v>
      </c>
      <c r="AH44" s="13"/>
      <c r="AI44" s="10" t="s">
        <v>44</v>
      </c>
      <c r="AJ44" s="10" t="s">
        <v>811</v>
      </c>
      <c r="AK44" s="29">
        <v>43607.0</v>
      </c>
      <c r="AL44" s="13">
        <v>0.0</v>
      </c>
      <c r="AM44" s="13">
        <v>0.0</v>
      </c>
      <c r="AN44" s="13">
        <v>1.0</v>
      </c>
      <c r="AO44" s="13">
        <v>1.0</v>
      </c>
      <c r="AP44" s="13">
        <v>0.0</v>
      </c>
      <c r="AQ44" s="13">
        <v>0.0</v>
      </c>
      <c r="AR44" s="13">
        <v>0.0</v>
      </c>
      <c r="AS44" s="13">
        <v>1.0</v>
      </c>
      <c r="AT44" s="13">
        <v>0.0</v>
      </c>
      <c r="AU44" s="13">
        <v>1.0</v>
      </c>
      <c r="AV44" s="13">
        <v>4.0</v>
      </c>
      <c r="AW44" s="13">
        <v>149.0</v>
      </c>
      <c r="AX44" s="13">
        <v>149.0</v>
      </c>
    </row>
    <row r="45">
      <c r="A45" s="10" t="s">
        <v>26</v>
      </c>
      <c r="B45" s="10" t="s">
        <v>748</v>
      </c>
      <c r="C45" s="29">
        <v>43541.0</v>
      </c>
      <c r="D45" s="13">
        <v>0.0</v>
      </c>
      <c r="E45" s="13">
        <v>1.0</v>
      </c>
      <c r="F45" s="13">
        <v>1.0</v>
      </c>
      <c r="G45" s="13">
        <v>0.0</v>
      </c>
      <c r="H45" s="13">
        <v>0.0</v>
      </c>
      <c r="I45" s="13">
        <v>0.0</v>
      </c>
      <c r="J45" s="13">
        <v>1.0</v>
      </c>
      <c r="K45" s="13">
        <v>1.0</v>
      </c>
      <c r="L45" s="13">
        <v>0.0</v>
      </c>
      <c r="M45" s="13">
        <v>1.0</v>
      </c>
      <c r="N45" s="13">
        <v>5.0</v>
      </c>
      <c r="O45" s="13">
        <v>3.0</v>
      </c>
      <c r="P45" s="13">
        <v>3.0</v>
      </c>
      <c r="Q45" s="10"/>
      <c r="R45" s="27" t="s">
        <v>36</v>
      </c>
      <c r="S45" s="27" t="s">
        <v>539</v>
      </c>
      <c r="T45" s="30">
        <v>44713.0</v>
      </c>
      <c r="U45" s="31">
        <v>0.0</v>
      </c>
      <c r="V45" s="31">
        <v>1.0</v>
      </c>
      <c r="W45" s="31">
        <v>1.0</v>
      </c>
      <c r="X45" s="31">
        <v>0.0</v>
      </c>
      <c r="Y45" s="31">
        <v>0.0</v>
      </c>
      <c r="Z45" s="31">
        <v>0.0</v>
      </c>
      <c r="AA45" s="31">
        <v>0.0</v>
      </c>
      <c r="AB45" s="31">
        <v>1.0</v>
      </c>
      <c r="AC45" s="31">
        <v>0.0</v>
      </c>
      <c r="AD45" s="31">
        <v>1.0</v>
      </c>
      <c r="AE45" s="31">
        <v>4.0</v>
      </c>
      <c r="AF45" s="31">
        <v>12.0</v>
      </c>
      <c r="AG45" s="31">
        <v>12.0</v>
      </c>
      <c r="AH45" s="13"/>
      <c r="AI45" s="10" t="s">
        <v>44</v>
      </c>
      <c r="AJ45" s="10" t="s">
        <v>812</v>
      </c>
      <c r="AK45" s="29">
        <v>43732.0</v>
      </c>
      <c r="AL45" s="13">
        <v>0.0</v>
      </c>
      <c r="AM45" s="13">
        <v>1.0</v>
      </c>
      <c r="AN45" s="13">
        <v>1.0</v>
      </c>
      <c r="AO45" s="13">
        <v>0.0</v>
      </c>
      <c r="AP45" s="13">
        <v>0.0</v>
      </c>
      <c r="AQ45" s="13">
        <v>0.0</v>
      </c>
      <c r="AR45" s="13">
        <v>1.0</v>
      </c>
      <c r="AS45" s="13">
        <v>1.0</v>
      </c>
      <c r="AT45" s="13">
        <v>0.0</v>
      </c>
      <c r="AU45" s="13">
        <v>1.0</v>
      </c>
      <c r="AV45" s="13">
        <v>5.0</v>
      </c>
      <c r="AW45" s="13">
        <v>180.0</v>
      </c>
      <c r="AX45" s="13">
        <v>180.0</v>
      </c>
    </row>
    <row r="46">
      <c r="A46" s="10" t="s">
        <v>26</v>
      </c>
      <c r="B46" s="10" t="s">
        <v>793</v>
      </c>
      <c r="C46" s="29">
        <v>43551.0</v>
      </c>
      <c r="D46" s="13">
        <v>0.0</v>
      </c>
      <c r="E46" s="13">
        <v>1.0</v>
      </c>
      <c r="F46" s="13">
        <v>1.0</v>
      </c>
      <c r="G46" s="13">
        <v>0.0</v>
      </c>
      <c r="H46" s="13">
        <v>0.0</v>
      </c>
      <c r="I46" s="13">
        <v>0.0</v>
      </c>
      <c r="J46" s="13">
        <v>1.0</v>
      </c>
      <c r="K46" s="13">
        <v>1.0</v>
      </c>
      <c r="L46" s="13">
        <v>0.0</v>
      </c>
      <c r="M46" s="13">
        <v>1.0</v>
      </c>
      <c r="N46" s="13">
        <v>5.0</v>
      </c>
      <c r="O46" s="13">
        <v>4.0</v>
      </c>
      <c r="P46" s="13">
        <v>4.0</v>
      </c>
      <c r="Q46" s="10"/>
      <c r="R46" s="27" t="s">
        <v>36</v>
      </c>
      <c r="S46" s="27" t="s">
        <v>540</v>
      </c>
      <c r="T46" s="30">
        <v>44715.0</v>
      </c>
      <c r="U46" s="31">
        <v>0.0</v>
      </c>
      <c r="V46" s="31">
        <v>1.0</v>
      </c>
      <c r="W46" s="31">
        <v>1.0</v>
      </c>
      <c r="X46" s="31">
        <v>0.0</v>
      </c>
      <c r="Y46" s="31">
        <v>0.0</v>
      </c>
      <c r="Z46" s="31">
        <v>0.0</v>
      </c>
      <c r="AA46" s="31">
        <v>0.0</v>
      </c>
      <c r="AB46" s="31">
        <v>1.0</v>
      </c>
      <c r="AC46" s="31">
        <v>0.0</v>
      </c>
      <c r="AD46" s="31">
        <v>1.0</v>
      </c>
      <c r="AE46" s="31">
        <v>4.0</v>
      </c>
      <c r="AF46" s="31">
        <v>12.0</v>
      </c>
      <c r="AG46" s="31">
        <v>12.0</v>
      </c>
      <c r="AH46" s="13"/>
      <c r="AI46" s="10" t="s">
        <v>44</v>
      </c>
      <c r="AJ46" s="10" t="s">
        <v>813</v>
      </c>
      <c r="AK46" s="29">
        <v>43763.0</v>
      </c>
      <c r="AL46" s="13">
        <v>0.0</v>
      </c>
      <c r="AM46" s="13">
        <v>0.0</v>
      </c>
      <c r="AN46" s="13">
        <v>1.0</v>
      </c>
      <c r="AO46" s="13">
        <v>1.0</v>
      </c>
      <c r="AP46" s="13">
        <v>1.0</v>
      </c>
      <c r="AQ46" s="13">
        <v>0.0</v>
      </c>
      <c r="AR46" s="13">
        <v>0.0</v>
      </c>
      <c r="AS46" s="13">
        <v>0.0</v>
      </c>
      <c r="AT46" s="13">
        <v>0.0</v>
      </c>
      <c r="AU46" s="13">
        <v>1.0</v>
      </c>
      <c r="AV46" s="13">
        <v>4.0</v>
      </c>
      <c r="AW46" s="13">
        <v>179.0</v>
      </c>
      <c r="AX46" s="13">
        <v>179.0</v>
      </c>
    </row>
    <row r="47">
      <c r="A47" s="10" t="s">
        <v>26</v>
      </c>
      <c r="B47" s="10" t="s">
        <v>755</v>
      </c>
      <c r="C47" s="29">
        <v>43560.0</v>
      </c>
      <c r="D47" s="13">
        <v>0.0</v>
      </c>
      <c r="E47" s="13">
        <v>1.0</v>
      </c>
      <c r="F47" s="13">
        <v>1.0</v>
      </c>
      <c r="G47" s="13">
        <v>0.0</v>
      </c>
      <c r="H47" s="13">
        <v>0.0</v>
      </c>
      <c r="I47" s="13">
        <v>0.0</v>
      </c>
      <c r="J47" s="13">
        <v>1.0</v>
      </c>
      <c r="K47" s="13">
        <v>1.0</v>
      </c>
      <c r="L47" s="13">
        <v>0.0</v>
      </c>
      <c r="M47" s="13">
        <v>1.0</v>
      </c>
      <c r="N47" s="13">
        <v>5.0</v>
      </c>
      <c r="O47" s="13">
        <v>4.0</v>
      </c>
      <c r="P47" s="13">
        <v>4.0</v>
      </c>
      <c r="Q47" s="10"/>
      <c r="R47" s="27" t="s">
        <v>36</v>
      </c>
      <c r="S47" s="27" t="s">
        <v>541</v>
      </c>
      <c r="T47" s="30">
        <v>44720.0</v>
      </c>
      <c r="U47" s="31">
        <v>0.0</v>
      </c>
      <c r="V47" s="31">
        <v>1.0</v>
      </c>
      <c r="W47" s="31">
        <v>1.0</v>
      </c>
      <c r="X47" s="31">
        <v>0.0</v>
      </c>
      <c r="Y47" s="31">
        <v>0.0</v>
      </c>
      <c r="Z47" s="31">
        <v>0.0</v>
      </c>
      <c r="AA47" s="31">
        <v>0.0</v>
      </c>
      <c r="AB47" s="31">
        <v>1.0</v>
      </c>
      <c r="AC47" s="31">
        <v>0.0</v>
      </c>
      <c r="AD47" s="31">
        <v>1.0</v>
      </c>
      <c r="AE47" s="31">
        <v>4.0</v>
      </c>
      <c r="AF47" s="31">
        <v>12.0</v>
      </c>
      <c r="AG47" s="31">
        <v>12.0</v>
      </c>
      <c r="AH47" s="13"/>
      <c r="AI47" s="10" t="s">
        <v>44</v>
      </c>
      <c r="AJ47" s="10" t="s">
        <v>814</v>
      </c>
      <c r="AK47" s="29">
        <v>43917.0</v>
      </c>
      <c r="AL47" s="13">
        <v>0.0</v>
      </c>
      <c r="AM47" s="13">
        <v>1.0</v>
      </c>
      <c r="AN47" s="13">
        <v>1.0</v>
      </c>
      <c r="AO47" s="13">
        <v>0.0</v>
      </c>
      <c r="AP47" s="13">
        <v>0.0</v>
      </c>
      <c r="AQ47" s="13">
        <v>0.0</v>
      </c>
      <c r="AR47" s="13">
        <v>1.0</v>
      </c>
      <c r="AS47" s="13">
        <v>1.0</v>
      </c>
      <c r="AT47" s="13">
        <v>0.0</v>
      </c>
      <c r="AU47" s="13">
        <v>1.0</v>
      </c>
      <c r="AV47" s="13">
        <v>5.0</v>
      </c>
      <c r="AW47" s="13">
        <v>189.0</v>
      </c>
      <c r="AX47" s="13">
        <v>189.0</v>
      </c>
    </row>
    <row r="48">
      <c r="A48" s="10" t="s">
        <v>26</v>
      </c>
      <c r="B48" s="10" t="s">
        <v>815</v>
      </c>
      <c r="C48" s="29">
        <v>43562.0</v>
      </c>
      <c r="D48" s="13">
        <v>0.0</v>
      </c>
      <c r="E48" s="13">
        <v>1.0</v>
      </c>
      <c r="F48" s="13">
        <v>1.0</v>
      </c>
      <c r="G48" s="13">
        <v>0.0</v>
      </c>
      <c r="H48" s="13">
        <v>0.0</v>
      </c>
      <c r="I48" s="13">
        <v>0.0</v>
      </c>
      <c r="J48" s="13">
        <v>0.0</v>
      </c>
      <c r="K48" s="13">
        <v>1.0</v>
      </c>
      <c r="L48" s="13">
        <v>0.0</v>
      </c>
      <c r="M48" s="13">
        <v>1.0</v>
      </c>
      <c r="N48" s="13">
        <v>4.0</v>
      </c>
      <c r="O48" s="13">
        <v>4.0</v>
      </c>
      <c r="P48" s="13">
        <v>4.0</v>
      </c>
      <c r="Q48" s="10"/>
      <c r="R48" s="27" t="s">
        <v>36</v>
      </c>
      <c r="S48" s="27" t="s">
        <v>542</v>
      </c>
      <c r="T48" s="30">
        <v>44727.0</v>
      </c>
      <c r="U48" s="31">
        <v>0.0</v>
      </c>
      <c r="V48" s="31">
        <v>1.0</v>
      </c>
      <c r="W48" s="31">
        <v>1.0</v>
      </c>
      <c r="X48" s="31">
        <v>0.0</v>
      </c>
      <c r="Y48" s="31">
        <v>0.0</v>
      </c>
      <c r="Z48" s="31">
        <v>0.0</v>
      </c>
      <c r="AA48" s="31">
        <v>0.0</v>
      </c>
      <c r="AB48" s="31">
        <v>1.0</v>
      </c>
      <c r="AC48" s="31">
        <v>0.0</v>
      </c>
      <c r="AD48" s="31">
        <v>1.0</v>
      </c>
      <c r="AE48" s="31">
        <v>4.0</v>
      </c>
      <c r="AF48" s="31">
        <v>12.0</v>
      </c>
      <c r="AG48" s="31">
        <v>12.0</v>
      </c>
      <c r="AH48" s="13"/>
      <c r="AI48" s="10" t="s">
        <v>44</v>
      </c>
      <c r="AJ48" s="10" t="s">
        <v>816</v>
      </c>
      <c r="AK48" s="29">
        <v>43944.0</v>
      </c>
      <c r="AL48" s="13">
        <v>0.0</v>
      </c>
      <c r="AM48" s="13">
        <v>1.0</v>
      </c>
      <c r="AN48" s="13">
        <v>1.0</v>
      </c>
      <c r="AO48" s="13">
        <v>0.0</v>
      </c>
      <c r="AP48" s="13">
        <v>0.0</v>
      </c>
      <c r="AQ48" s="13">
        <v>0.0</v>
      </c>
      <c r="AR48" s="13">
        <v>1.0</v>
      </c>
      <c r="AS48" s="13">
        <v>1.0</v>
      </c>
      <c r="AT48" s="13">
        <v>0.0</v>
      </c>
      <c r="AU48" s="13">
        <v>1.0</v>
      </c>
      <c r="AV48" s="13">
        <v>5.0</v>
      </c>
      <c r="AW48" s="13">
        <v>192.0</v>
      </c>
      <c r="AX48" s="13">
        <v>192.0</v>
      </c>
    </row>
    <row r="49">
      <c r="A49" s="10" t="s">
        <v>26</v>
      </c>
      <c r="B49" s="10" t="s">
        <v>817</v>
      </c>
      <c r="C49" s="29">
        <v>43562.0</v>
      </c>
      <c r="D49" s="13">
        <v>0.0</v>
      </c>
      <c r="E49" s="13">
        <v>1.0</v>
      </c>
      <c r="F49" s="13">
        <v>1.0</v>
      </c>
      <c r="G49" s="13">
        <v>0.0</v>
      </c>
      <c r="H49" s="13">
        <v>0.0</v>
      </c>
      <c r="I49" s="13">
        <v>0.0</v>
      </c>
      <c r="J49" s="13">
        <v>0.0</v>
      </c>
      <c r="K49" s="13">
        <v>1.0</v>
      </c>
      <c r="L49" s="13">
        <v>0.0</v>
      </c>
      <c r="M49" s="13">
        <v>1.0</v>
      </c>
      <c r="N49" s="13">
        <v>4.0</v>
      </c>
      <c r="O49" s="13">
        <v>4.0</v>
      </c>
      <c r="P49" s="13">
        <v>4.0</v>
      </c>
      <c r="Q49" s="10"/>
      <c r="R49" s="27" t="s">
        <v>36</v>
      </c>
      <c r="S49" s="27" t="s">
        <v>543</v>
      </c>
      <c r="T49" s="30">
        <v>44744.0</v>
      </c>
      <c r="U49" s="31">
        <v>0.0</v>
      </c>
      <c r="V49" s="31">
        <v>1.0</v>
      </c>
      <c r="W49" s="31">
        <v>1.0</v>
      </c>
      <c r="X49" s="31">
        <v>0.0</v>
      </c>
      <c r="Y49" s="31">
        <v>0.0</v>
      </c>
      <c r="Z49" s="31">
        <v>0.0</v>
      </c>
      <c r="AA49" s="31">
        <v>0.0</v>
      </c>
      <c r="AB49" s="31">
        <v>1.0</v>
      </c>
      <c r="AC49" s="31">
        <v>0.0</v>
      </c>
      <c r="AD49" s="31">
        <v>1.0</v>
      </c>
      <c r="AE49" s="31">
        <v>4.0</v>
      </c>
      <c r="AF49" s="31">
        <v>12.0</v>
      </c>
      <c r="AG49" s="31">
        <v>12.0</v>
      </c>
      <c r="AH49" s="13"/>
      <c r="AI49" s="10" t="s">
        <v>44</v>
      </c>
      <c r="AJ49" s="10" t="s">
        <v>818</v>
      </c>
      <c r="AK49" s="29">
        <v>43949.0</v>
      </c>
      <c r="AL49" s="13">
        <v>0.0</v>
      </c>
      <c r="AM49" s="13">
        <v>1.0</v>
      </c>
      <c r="AN49" s="13">
        <v>1.0</v>
      </c>
      <c r="AO49" s="13">
        <v>0.0</v>
      </c>
      <c r="AP49" s="13">
        <v>0.0</v>
      </c>
      <c r="AQ49" s="13">
        <v>0.0</v>
      </c>
      <c r="AR49" s="13">
        <v>1.0</v>
      </c>
      <c r="AS49" s="13">
        <v>1.0</v>
      </c>
      <c r="AT49" s="13">
        <v>0.0</v>
      </c>
      <c r="AU49" s="13">
        <v>1.0</v>
      </c>
      <c r="AV49" s="13">
        <v>5.0</v>
      </c>
      <c r="AW49" s="13">
        <v>192.0</v>
      </c>
      <c r="AX49" s="13">
        <v>192.0</v>
      </c>
    </row>
    <row r="50">
      <c r="A50" s="10" t="s">
        <v>26</v>
      </c>
      <c r="B50" s="10" t="s">
        <v>819</v>
      </c>
      <c r="C50" s="29">
        <v>43568.0</v>
      </c>
      <c r="D50" s="13">
        <v>0.0</v>
      </c>
      <c r="E50" s="13">
        <v>1.0</v>
      </c>
      <c r="F50" s="13">
        <v>1.0</v>
      </c>
      <c r="G50" s="13">
        <v>0.0</v>
      </c>
      <c r="H50" s="13">
        <v>0.0</v>
      </c>
      <c r="I50" s="13">
        <v>0.0</v>
      </c>
      <c r="J50" s="13">
        <v>1.0</v>
      </c>
      <c r="K50" s="13">
        <v>1.0</v>
      </c>
      <c r="L50" s="13">
        <v>0.0</v>
      </c>
      <c r="M50" s="13">
        <v>1.0</v>
      </c>
      <c r="N50" s="13">
        <v>5.0</v>
      </c>
      <c r="O50" s="13">
        <v>4.0</v>
      </c>
      <c r="P50" s="13">
        <v>4.0</v>
      </c>
      <c r="Q50" s="10"/>
      <c r="R50" s="27" t="s">
        <v>36</v>
      </c>
      <c r="S50" s="27" t="s">
        <v>544</v>
      </c>
      <c r="T50" s="30">
        <v>44769.0</v>
      </c>
      <c r="U50" s="31">
        <v>0.0</v>
      </c>
      <c r="V50" s="31">
        <v>1.0</v>
      </c>
      <c r="W50" s="31">
        <v>1.0</v>
      </c>
      <c r="X50" s="31">
        <v>0.0</v>
      </c>
      <c r="Y50" s="31">
        <v>0.0</v>
      </c>
      <c r="Z50" s="31">
        <v>0.0</v>
      </c>
      <c r="AA50" s="31">
        <v>1.0</v>
      </c>
      <c r="AB50" s="31">
        <v>1.0</v>
      </c>
      <c r="AC50" s="31">
        <v>0.0</v>
      </c>
      <c r="AD50" s="31">
        <v>1.0</v>
      </c>
      <c r="AE50" s="31">
        <v>5.0</v>
      </c>
      <c r="AF50" s="31">
        <v>12.0</v>
      </c>
      <c r="AG50" s="31">
        <v>12.0</v>
      </c>
      <c r="AH50" s="13"/>
      <c r="AI50" s="10" t="s">
        <v>44</v>
      </c>
      <c r="AJ50" s="10" t="s">
        <v>820</v>
      </c>
      <c r="AK50" s="29">
        <v>43950.0</v>
      </c>
      <c r="AL50" s="13">
        <v>0.0</v>
      </c>
      <c r="AM50" s="13">
        <v>1.0</v>
      </c>
      <c r="AN50" s="13">
        <v>1.0</v>
      </c>
      <c r="AO50" s="13">
        <v>0.0</v>
      </c>
      <c r="AP50" s="13">
        <v>0.0</v>
      </c>
      <c r="AQ50" s="13">
        <v>0.0</v>
      </c>
      <c r="AR50" s="13">
        <v>1.0</v>
      </c>
      <c r="AS50" s="13">
        <v>1.0</v>
      </c>
      <c r="AT50" s="13">
        <v>0.0</v>
      </c>
      <c r="AU50" s="13">
        <v>1.0</v>
      </c>
      <c r="AV50" s="13">
        <v>5.0</v>
      </c>
      <c r="AW50" s="13">
        <v>192.0</v>
      </c>
      <c r="AX50" s="13">
        <v>192.0</v>
      </c>
    </row>
    <row r="51">
      <c r="A51" s="10" t="s">
        <v>26</v>
      </c>
      <c r="B51" s="10" t="s">
        <v>821</v>
      </c>
      <c r="C51" s="29">
        <v>43572.0</v>
      </c>
      <c r="D51" s="13">
        <v>0.0</v>
      </c>
      <c r="E51" s="13">
        <v>1.0</v>
      </c>
      <c r="F51" s="13">
        <v>1.0</v>
      </c>
      <c r="G51" s="13">
        <v>0.0</v>
      </c>
      <c r="H51" s="13">
        <v>0.0</v>
      </c>
      <c r="I51" s="13">
        <v>0.0</v>
      </c>
      <c r="J51" s="13">
        <v>1.0</v>
      </c>
      <c r="K51" s="13">
        <v>1.0</v>
      </c>
      <c r="L51" s="13">
        <v>0.0</v>
      </c>
      <c r="M51" s="13">
        <v>1.0</v>
      </c>
      <c r="N51" s="13">
        <v>5.0</v>
      </c>
      <c r="O51" s="13">
        <v>4.0</v>
      </c>
      <c r="P51" s="13">
        <v>4.0</v>
      </c>
      <c r="Q51" s="10"/>
      <c r="R51" s="27" t="s">
        <v>36</v>
      </c>
      <c r="S51" s="27" t="s">
        <v>545</v>
      </c>
      <c r="T51" s="30">
        <v>44771.0</v>
      </c>
      <c r="U51" s="31">
        <v>0.0</v>
      </c>
      <c r="V51" s="31">
        <v>1.0</v>
      </c>
      <c r="W51" s="31">
        <v>1.0</v>
      </c>
      <c r="X51" s="31">
        <v>0.0</v>
      </c>
      <c r="Y51" s="31">
        <v>0.0</v>
      </c>
      <c r="Z51" s="31">
        <v>0.0</v>
      </c>
      <c r="AA51" s="31">
        <v>1.0</v>
      </c>
      <c r="AB51" s="31">
        <v>1.0</v>
      </c>
      <c r="AC51" s="31">
        <v>0.0</v>
      </c>
      <c r="AD51" s="31">
        <v>1.0</v>
      </c>
      <c r="AE51" s="31">
        <v>5.0</v>
      </c>
      <c r="AF51" s="31">
        <v>12.0</v>
      </c>
      <c r="AG51" s="31">
        <v>12.0</v>
      </c>
      <c r="AH51" s="13"/>
      <c r="AI51" s="10" t="s">
        <v>44</v>
      </c>
      <c r="AJ51" s="10" t="s">
        <v>822</v>
      </c>
      <c r="AK51" s="29">
        <v>43962.0</v>
      </c>
      <c r="AL51" s="13">
        <v>0.0</v>
      </c>
      <c r="AM51" s="13">
        <v>1.0</v>
      </c>
      <c r="AN51" s="13">
        <v>1.0</v>
      </c>
      <c r="AO51" s="13">
        <v>0.0</v>
      </c>
      <c r="AP51" s="13">
        <v>0.0</v>
      </c>
      <c r="AQ51" s="13">
        <v>0.0</v>
      </c>
      <c r="AR51" s="13">
        <v>1.0</v>
      </c>
      <c r="AS51" s="13">
        <v>1.0</v>
      </c>
      <c r="AT51" s="13">
        <v>0.0</v>
      </c>
      <c r="AU51" s="13">
        <v>1.0</v>
      </c>
      <c r="AV51" s="13">
        <v>5.0</v>
      </c>
      <c r="AW51" s="13">
        <v>192.0</v>
      </c>
      <c r="AX51" s="13">
        <v>192.0</v>
      </c>
    </row>
    <row r="52">
      <c r="A52" s="10" t="s">
        <v>26</v>
      </c>
      <c r="B52" s="10" t="s">
        <v>823</v>
      </c>
      <c r="C52" s="29">
        <v>43585.0</v>
      </c>
      <c r="D52" s="13">
        <v>1.0</v>
      </c>
      <c r="E52" s="13">
        <v>1.0</v>
      </c>
      <c r="F52" s="13">
        <v>1.0</v>
      </c>
      <c r="G52" s="13">
        <v>1.0</v>
      </c>
      <c r="H52" s="13">
        <v>0.0</v>
      </c>
      <c r="I52" s="13">
        <v>1.0</v>
      </c>
      <c r="J52" s="13">
        <v>1.0</v>
      </c>
      <c r="K52" s="13">
        <v>1.0</v>
      </c>
      <c r="L52" s="13">
        <v>0.0</v>
      </c>
      <c r="M52" s="13">
        <v>1.0</v>
      </c>
      <c r="N52" s="13">
        <v>8.0</v>
      </c>
      <c r="O52" s="13">
        <v>4.0</v>
      </c>
      <c r="P52" s="13">
        <v>4.0</v>
      </c>
      <c r="Q52" s="10"/>
      <c r="R52" s="27" t="s">
        <v>36</v>
      </c>
      <c r="S52" s="27" t="s">
        <v>546</v>
      </c>
      <c r="T52" s="30">
        <v>44775.0</v>
      </c>
      <c r="U52" s="31">
        <v>0.0</v>
      </c>
      <c r="V52" s="31">
        <v>1.0</v>
      </c>
      <c r="W52" s="31">
        <v>1.0</v>
      </c>
      <c r="X52" s="31">
        <v>0.0</v>
      </c>
      <c r="Y52" s="31">
        <v>0.0</v>
      </c>
      <c r="Z52" s="31">
        <v>0.0</v>
      </c>
      <c r="AA52" s="31">
        <v>0.0</v>
      </c>
      <c r="AB52" s="31">
        <v>1.0</v>
      </c>
      <c r="AC52" s="31">
        <v>0.0</v>
      </c>
      <c r="AD52" s="31">
        <v>1.0</v>
      </c>
      <c r="AE52" s="31">
        <v>4.0</v>
      </c>
      <c r="AF52" s="31">
        <v>12.0</v>
      </c>
      <c r="AG52" s="31">
        <v>12.0</v>
      </c>
      <c r="AH52" s="13"/>
      <c r="AI52" s="10" t="s">
        <v>44</v>
      </c>
      <c r="AJ52" s="10" t="s">
        <v>824</v>
      </c>
      <c r="AK52" s="29">
        <v>43970.0</v>
      </c>
      <c r="AL52" s="13">
        <v>0.0</v>
      </c>
      <c r="AM52" s="13">
        <v>1.0</v>
      </c>
      <c r="AN52" s="13">
        <v>1.0</v>
      </c>
      <c r="AO52" s="13">
        <v>0.0</v>
      </c>
      <c r="AP52" s="13">
        <v>0.0</v>
      </c>
      <c r="AQ52" s="13">
        <v>0.0</v>
      </c>
      <c r="AR52" s="13">
        <v>1.0</v>
      </c>
      <c r="AS52" s="13">
        <v>1.0</v>
      </c>
      <c r="AT52" s="13">
        <v>0.0</v>
      </c>
      <c r="AU52" s="13">
        <v>1.0</v>
      </c>
      <c r="AV52" s="13">
        <v>5.0</v>
      </c>
      <c r="AW52" s="13">
        <v>192.0</v>
      </c>
      <c r="AX52" s="13">
        <v>192.0</v>
      </c>
    </row>
    <row r="53">
      <c r="A53" s="10" t="s">
        <v>26</v>
      </c>
      <c r="B53" s="10" t="s">
        <v>825</v>
      </c>
      <c r="C53" s="29">
        <v>43726.0</v>
      </c>
      <c r="D53" s="13">
        <v>1.0</v>
      </c>
      <c r="E53" s="13">
        <v>1.0</v>
      </c>
      <c r="F53" s="13">
        <v>1.0</v>
      </c>
      <c r="G53" s="13">
        <v>0.0</v>
      </c>
      <c r="H53" s="13">
        <v>0.0</v>
      </c>
      <c r="I53" s="13">
        <v>1.0</v>
      </c>
      <c r="J53" s="13">
        <v>1.0</v>
      </c>
      <c r="K53" s="13">
        <v>0.0</v>
      </c>
      <c r="L53" s="13">
        <v>0.0</v>
      </c>
      <c r="M53" s="13">
        <v>1.0</v>
      </c>
      <c r="N53" s="13">
        <v>6.0</v>
      </c>
      <c r="O53" s="13">
        <v>4.0</v>
      </c>
      <c r="P53" s="13">
        <v>4.0</v>
      </c>
      <c r="Q53" s="10"/>
      <c r="R53" s="27" t="s">
        <v>36</v>
      </c>
      <c r="S53" s="27" t="s">
        <v>547</v>
      </c>
      <c r="T53" s="30">
        <v>44776.0</v>
      </c>
      <c r="U53" s="31">
        <v>0.0</v>
      </c>
      <c r="V53" s="31">
        <v>1.0</v>
      </c>
      <c r="W53" s="31">
        <v>1.0</v>
      </c>
      <c r="X53" s="31">
        <v>0.0</v>
      </c>
      <c r="Y53" s="31">
        <v>0.0</v>
      </c>
      <c r="Z53" s="31">
        <v>0.0</v>
      </c>
      <c r="AA53" s="31">
        <v>0.0</v>
      </c>
      <c r="AB53" s="31">
        <v>1.0</v>
      </c>
      <c r="AC53" s="31">
        <v>0.0</v>
      </c>
      <c r="AD53" s="31">
        <v>1.0</v>
      </c>
      <c r="AE53" s="31">
        <v>4.0</v>
      </c>
      <c r="AF53" s="31">
        <v>12.0</v>
      </c>
      <c r="AG53" s="31">
        <v>12.0</v>
      </c>
      <c r="AH53" s="13"/>
      <c r="AI53" s="10" t="s">
        <v>44</v>
      </c>
      <c r="AJ53" s="10" t="s">
        <v>826</v>
      </c>
      <c r="AK53" s="29">
        <v>43994.0</v>
      </c>
      <c r="AL53" s="13">
        <v>0.0</v>
      </c>
      <c r="AM53" s="13">
        <v>1.0</v>
      </c>
      <c r="AN53" s="13">
        <v>1.0</v>
      </c>
      <c r="AO53" s="13">
        <v>0.0</v>
      </c>
      <c r="AP53" s="13">
        <v>0.0</v>
      </c>
      <c r="AQ53" s="13">
        <v>0.0</v>
      </c>
      <c r="AR53" s="13">
        <v>0.0</v>
      </c>
      <c r="AS53" s="13">
        <v>1.0</v>
      </c>
      <c r="AT53" s="13">
        <v>0.0</v>
      </c>
      <c r="AU53" s="13">
        <v>1.0</v>
      </c>
      <c r="AV53" s="13">
        <v>4.0</v>
      </c>
      <c r="AW53" s="13">
        <v>192.0</v>
      </c>
      <c r="AX53" s="13">
        <v>192.0</v>
      </c>
    </row>
    <row r="54">
      <c r="A54" s="10" t="s">
        <v>26</v>
      </c>
      <c r="B54" s="10" t="s">
        <v>827</v>
      </c>
      <c r="C54" s="29">
        <v>43886.0</v>
      </c>
      <c r="D54" s="13">
        <v>1.0</v>
      </c>
      <c r="E54" s="13">
        <v>1.0</v>
      </c>
      <c r="F54" s="13">
        <v>1.0</v>
      </c>
      <c r="G54" s="13">
        <v>1.0</v>
      </c>
      <c r="H54" s="13">
        <v>0.0</v>
      </c>
      <c r="I54" s="13">
        <v>0.0</v>
      </c>
      <c r="J54" s="13">
        <v>1.0</v>
      </c>
      <c r="K54" s="13">
        <v>1.0</v>
      </c>
      <c r="L54" s="13">
        <v>0.0</v>
      </c>
      <c r="M54" s="13">
        <v>1.0</v>
      </c>
      <c r="N54" s="13">
        <v>7.0</v>
      </c>
      <c r="O54" s="13">
        <v>4.0</v>
      </c>
      <c r="P54" s="13">
        <v>4.0</v>
      </c>
      <c r="Q54" s="10"/>
      <c r="R54" s="27" t="s">
        <v>36</v>
      </c>
      <c r="S54" s="27" t="s">
        <v>548</v>
      </c>
      <c r="T54" s="30">
        <v>44783.0</v>
      </c>
      <c r="U54" s="31">
        <v>0.0</v>
      </c>
      <c r="V54" s="31">
        <v>1.0</v>
      </c>
      <c r="W54" s="31">
        <v>1.0</v>
      </c>
      <c r="X54" s="31">
        <v>0.0</v>
      </c>
      <c r="Y54" s="31">
        <v>0.0</v>
      </c>
      <c r="Z54" s="31">
        <v>0.0</v>
      </c>
      <c r="AA54" s="31">
        <v>1.0</v>
      </c>
      <c r="AB54" s="31">
        <v>1.0</v>
      </c>
      <c r="AC54" s="31">
        <v>0.0</v>
      </c>
      <c r="AD54" s="31">
        <v>1.0</v>
      </c>
      <c r="AE54" s="31">
        <v>5.0</v>
      </c>
      <c r="AF54" s="31">
        <v>12.0</v>
      </c>
      <c r="AG54" s="31">
        <v>12.0</v>
      </c>
      <c r="AH54" s="13"/>
      <c r="AI54" s="10" t="s">
        <v>44</v>
      </c>
      <c r="AJ54" s="10" t="s">
        <v>828</v>
      </c>
      <c r="AK54" s="29">
        <v>43995.0</v>
      </c>
      <c r="AL54" s="13">
        <v>0.0</v>
      </c>
      <c r="AM54" s="13">
        <v>0.0</v>
      </c>
      <c r="AN54" s="13">
        <v>1.0</v>
      </c>
      <c r="AO54" s="13">
        <v>1.0</v>
      </c>
      <c r="AP54" s="13">
        <v>1.0</v>
      </c>
      <c r="AQ54" s="13">
        <v>0.0</v>
      </c>
      <c r="AR54" s="13">
        <v>0.0</v>
      </c>
      <c r="AS54" s="13">
        <v>0.0</v>
      </c>
      <c r="AT54" s="13">
        <v>0.0</v>
      </c>
      <c r="AU54" s="13">
        <v>1.0</v>
      </c>
      <c r="AV54" s="13">
        <v>4.0</v>
      </c>
      <c r="AW54" s="13">
        <v>192.0</v>
      </c>
      <c r="AX54" s="13">
        <v>192.0</v>
      </c>
    </row>
    <row r="55">
      <c r="A55" s="10" t="s">
        <v>28</v>
      </c>
      <c r="B55" s="10" t="s">
        <v>829</v>
      </c>
      <c r="C55" s="29">
        <v>42671.0</v>
      </c>
      <c r="D55" s="13">
        <v>0.0</v>
      </c>
      <c r="E55" s="13">
        <v>1.0</v>
      </c>
      <c r="F55" s="13">
        <v>1.0</v>
      </c>
      <c r="G55" s="13">
        <v>0.0</v>
      </c>
      <c r="H55" s="13">
        <v>0.0</v>
      </c>
      <c r="I55" s="13">
        <v>0.0</v>
      </c>
      <c r="J55" s="13">
        <v>0.0</v>
      </c>
      <c r="K55" s="13">
        <v>1.0</v>
      </c>
      <c r="L55" s="13">
        <v>0.0</v>
      </c>
      <c r="M55" s="13">
        <v>1.0</v>
      </c>
      <c r="N55" s="13">
        <v>4.0</v>
      </c>
      <c r="O55" s="13">
        <v>1.0</v>
      </c>
      <c r="P55" s="13">
        <v>1.0</v>
      </c>
      <c r="Q55" s="10"/>
      <c r="R55" s="27" t="s">
        <v>36</v>
      </c>
      <c r="S55" s="27" t="s">
        <v>549</v>
      </c>
      <c r="T55" s="30">
        <v>44799.0</v>
      </c>
      <c r="U55" s="31">
        <v>0.0</v>
      </c>
      <c r="V55" s="31">
        <v>1.0</v>
      </c>
      <c r="W55" s="31">
        <v>1.0</v>
      </c>
      <c r="X55" s="31">
        <v>0.0</v>
      </c>
      <c r="Y55" s="31">
        <v>0.0</v>
      </c>
      <c r="Z55" s="31">
        <v>0.0</v>
      </c>
      <c r="AA55" s="31">
        <v>1.0</v>
      </c>
      <c r="AB55" s="31">
        <v>1.0</v>
      </c>
      <c r="AC55" s="31">
        <v>0.0</v>
      </c>
      <c r="AD55" s="31">
        <v>1.0</v>
      </c>
      <c r="AE55" s="31">
        <v>5.0</v>
      </c>
      <c r="AF55" s="31">
        <v>12.0</v>
      </c>
      <c r="AG55" s="31">
        <v>12.0</v>
      </c>
      <c r="AH55" s="13"/>
      <c r="AI55" s="10" t="s">
        <v>44</v>
      </c>
      <c r="AJ55" s="10" t="s">
        <v>830</v>
      </c>
      <c r="AK55" s="29">
        <v>44078.0</v>
      </c>
      <c r="AL55" s="13">
        <v>0.0</v>
      </c>
      <c r="AM55" s="13">
        <v>1.0</v>
      </c>
      <c r="AN55" s="13">
        <v>1.0</v>
      </c>
      <c r="AO55" s="13">
        <v>0.0</v>
      </c>
      <c r="AP55" s="13">
        <v>0.0</v>
      </c>
      <c r="AQ55" s="13">
        <v>0.0</v>
      </c>
      <c r="AR55" s="13">
        <v>1.0</v>
      </c>
      <c r="AS55" s="13">
        <v>1.0</v>
      </c>
      <c r="AT55" s="13">
        <v>0.0</v>
      </c>
      <c r="AU55" s="13">
        <v>1.0</v>
      </c>
      <c r="AV55" s="13">
        <v>5.0</v>
      </c>
      <c r="AW55" s="13">
        <v>192.0</v>
      </c>
      <c r="AX55" s="13">
        <v>192.0</v>
      </c>
    </row>
    <row r="56">
      <c r="A56" s="10" t="s">
        <v>28</v>
      </c>
      <c r="B56" s="10" t="s">
        <v>831</v>
      </c>
      <c r="C56" s="29">
        <v>42671.0</v>
      </c>
      <c r="D56" s="13">
        <v>0.0</v>
      </c>
      <c r="E56" s="13">
        <v>1.0</v>
      </c>
      <c r="F56" s="13">
        <v>1.0</v>
      </c>
      <c r="G56" s="13">
        <v>0.0</v>
      </c>
      <c r="H56" s="13">
        <v>0.0</v>
      </c>
      <c r="I56" s="13">
        <v>0.0</v>
      </c>
      <c r="J56" s="13">
        <v>0.0</v>
      </c>
      <c r="K56" s="13">
        <v>1.0</v>
      </c>
      <c r="L56" s="13">
        <v>0.0</v>
      </c>
      <c r="M56" s="13">
        <v>1.0</v>
      </c>
      <c r="N56" s="13">
        <v>4.0</v>
      </c>
      <c r="O56" s="13">
        <v>1.0</v>
      </c>
      <c r="P56" s="13">
        <v>1.0</v>
      </c>
      <c r="Q56" s="10"/>
      <c r="R56" s="27" t="s">
        <v>36</v>
      </c>
      <c r="S56" s="27" t="s">
        <v>550</v>
      </c>
      <c r="T56" s="30">
        <v>44846.0</v>
      </c>
      <c r="U56" s="31">
        <v>0.0</v>
      </c>
      <c r="V56" s="31">
        <v>1.0</v>
      </c>
      <c r="W56" s="31">
        <v>1.0</v>
      </c>
      <c r="X56" s="31">
        <v>0.0</v>
      </c>
      <c r="Y56" s="31">
        <v>0.0</v>
      </c>
      <c r="Z56" s="31">
        <v>0.0</v>
      </c>
      <c r="AA56" s="31">
        <v>0.0</v>
      </c>
      <c r="AB56" s="31">
        <v>1.0</v>
      </c>
      <c r="AC56" s="31">
        <v>0.0</v>
      </c>
      <c r="AD56" s="31">
        <v>1.0</v>
      </c>
      <c r="AE56" s="31">
        <v>4.0</v>
      </c>
      <c r="AF56" s="31">
        <v>12.0</v>
      </c>
      <c r="AG56" s="31">
        <v>12.0</v>
      </c>
      <c r="AH56" s="13"/>
      <c r="AI56" s="10" t="s">
        <v>44</v>
      </c>
      <c r="AJ56" s="10" t="s">
        <v>832</v>
      </c>
      <c r="AK56" s="29">
        <v>44097.0</v>
      </c>
      <c r="AL56" s="13">
        <v>0.0</v>
      </c>
      <c r="AM56" s="13">
        <v>1.0</v>
      </c>
      <c r="AN56" s="13">
        <v>1.0</v>
      </c>
      <c r="AO56" s="13">
        <v>0.0</v>
      </c>
      <c r="AP56" s="13">
        <v>0.0</v>
      </c>
      <c r="AQ56" s="13">
        <v>0.0</v>
      </c>
      <c r="AR56" s="13">
        <v>1.0</v>
      </c>
      <c r="AS56" s="13">
        <v>1.0</v>
      </c>
      <c r="AT56" s="13">
        <v>0.0</v>
      </c>
      <c r="AU56" s="13">
        <v>1.0</v>
      </c>
      <c r="AV56" s="13">
        <v>5.0</v>
      </c>
      <c r="AW56" s="13">
        <v>195.0</v>
      </c>
      <c r="AX56" s="13">
        <v>195.0</v>
      </c>
    </row>
    <row r="57">
      <c r="A57" s="10" t="s">
        <v>28</v>
      </c>
      <c r="B57" s="10" t="s">
        <v>833</v>
      </c>
      <c r="C57" s="29">
        <v>42671.0</v>
      </c>
      <c r="D57" s="13">
        <v>0.0</v>
      </c>
      <c r="E57" s="13">
        <v>1.0</v>
      </c>
      <c r="F57" s="13">
        <v>1.0</v>
      </c>
      <c r="G57" s="13">
        <v>0.0</v>
      </c>
      <c r="H57" s="13">
        <v>0.0</v>
      </c>
      <c r="I57" s="13">
        <v>0.0</v>
      </c>
      <c r="J57" s="13">
        <v>0.0</v>
      </c>
      <c r="K57" s="13">
        <v>1.0</v>
      </c>
      <c r="L57" s="13">
        <v>0.0</v>
      </c>
      <c r="M57" s="13">
        <v>1.0</v>
      </c>
      <c r="N57" s="13">
        <v>4.0</v>
      </c>
      <c r="O57" s="13">
        <v>1.0</v>
      </c>
      <c r="P57" s="13">
        <v>1.0</v>
      </c>
      <c r="Q57" s="10"/>
      <c r="R57" s="27" t="s">
        <v>36</v>
      </c>
      <c r="S57" s="27" t="s">
        <v>551</v>
      </c>
      <c r="T57" s="30">
        <v>44850.0</v>
      </c>
      <c r="U57" s="31">
        <v>0.0</v>
      </c>
      <c r="V57" s="31">
        <v>1.0</v>
      </c>
      <c r="W57" s="31">
        <v>1.0</v>
      </c>
      <c r="X57" s="31">
        <v>0.0</v>
      </c>
      <c r="Y57" s="31">
        <v>0.0</v>
      </c>
      <c r="Z57" s="31">
        <v>0.0</v>
      </c>
      <c r="AA57" s="31">
        <v>1.0</v>
      </c>
      <c r="AB57" s="31">
        <v>1.0</v>
      </c>
      <c r="AC57" s="31">
        <v>0.0</v>
      </c>
      <c r="AD57" s="31">
        <v>1.0</v>
      </c>
      <c r="AE57" s="31">
        <v>5.0</v>
      </c>
      <c r="AF57" s="31">
        <v>12.0</v>
      </c>
      <c r="AG57" s="31">
        <v>12.0</v>
      </c>
      <c r="AH57" s="13"/>
      <c r="AI57" s="10" t="s">
        <v>44</v>
      </c>
      <c r="AJ57" s="10" t="s">
        <v>834</v>
      </c>
      <c r="AK57" s="29">
        <v>44140.0</v>
      </c>
      <c r="AL57" s="13">
        <v>0.0</v>
      </c>
      <c r="AM57" s="13">
        <v>1.0</v>
      </c>
      <c r="AN57" s="13">
        <v>1.0</v>
      </c>
      <c r="AO57" s="13">
        <v>0.0</v>
      </c>
      <c r="AP57" s="13">
        <v>0.0</v>
      </c>
      <c r="AQ57" s="13">
        <v>0.0</v>
      </c>
      <c r="AR57" s="13">
        <v>1.0</v>
      </c>
      <c r="AS57" s="13">
        <v>1.0</v>
      </c>
      <c r="AT57" s="13">
        <v>0.0</v>
      </c>
      <c r="AU57" s="13">
        <v>1.0</v>
      </c>
      <c r="AV57" s="13">
        <v>5.0</v>
      </c>
      <c r="AW57" s="13">
        <v>196.0</v>
      </c>
      <c r="AX57" s="13">
        <v>196.0</v>
      </c>
    </row>
    <row r="58">
      <c r="A58" s="10" t="s">
        <v>28</v>
      </c>
      <c r="B58" s="10" t="s">
        <v>835</v>
      </c>
      <c r="C58" s="29">
        <v>42674.0</v>
      </c>
      <c r="D58" s="13">
        <v>0.0</v>
      </c>
      <c r="E58" s="13">
        <v>1.0</v>
      </c>
      <c r="F58" s="13">
        <v>1.0</v>
      </c>
      <c r="G58" s="13">
        <v>0.0</v>
      </c>
      <c r="H58" s="13">
        <v>0.0</v>
      </c>
      <c r="I58" s="13">
        <v>0.0</v>
      </c>
      <c r="J58" s="13">
        <v>0.0</v>
      </c>
      <c r="K58" s="13">
        <v>1.0</v>
      </c>
      <c r="L58" s="13">
        <v>0.0</v>
      </c>
      <c r="M58" s="13">
        <v>1.0</v>
      </c>
      <c r="N58" s="13">
        <v>4.0</v>
      </c>
      <c r="O58" s="13">
        <v>1.0</v>
      </c>
      <c r="P58" s="13">
        <v>1.0</v>
      </c>
      <c r="Q58" s="10"/>
      <c r="R58" s="27" t="s">
        <v>36</v>
      </c>
      <c r="S58" s="27" t="s">
        <v>552</v>
      </c>
      <c r="T58" s="30">
        <v>44855.0</v>
      </c>
      <c r="U58" s="31">
        <v>0.0</v>
      </c>
      <c r="V58" s="31">
        <v>1.0</v>
      </c>
      <c r="W58" s="31">
        <v>1.0</v>
      </c>
      <c r="X58" s="31">
        <v>0.0</v>
      </c>
      <c r="Y58" s="31">
        <v>0.0</v>
      </c>
      <c r="Z58" s="31">
        <v>0.0</v>
      </c>
      <c r="AA58" s="31">
        <v>0.0</v>
      </c>
      <c r="AB58" s="31">
        <v>1.0</v>
      </c>
      <c r="AC58" s="31">
        <v>0.0</v>
      </c>
      <c r="AD58" s="31">
        <v>1.0</v>
      </c>
      <c r="AE58" s="31">
        <v>4.0</v>
      </c>
      <c r="AF58" s="31">
        <v>11.0</v>
      </c>
      <c r="AG58" s="31">
        <v>11.0</v>
      </c>
      <c r="AH58" s="13"/>
      <c r="AI58" s="10" t="s">
        <v>44</v>
      </c>
      <c r="AJ58" s="10" t="s">
        <v>836</v>
      </c>
      <c r="AK58" s="29">
        <v>44165.0</v>
      </c>
      <c r="AL58" s="13">
        <v>0.0</v>
      </c>
      <c r="AM58" s="13">
        <v>1.0</v>
      </c>
      <c r="AN58" s="13">
        <v>1.0</v>
      </c>
      <c r="AO58" s="13">
        <v>0.0</v>
      </c>
      <c r="AP58" s="13">
        <v>0.0</v>
      </c>
      <c r="AQ58" s="13">
        <v>0.0</v>
      </c>
      <c r="AR58" s="13">
        <v>1.0</v>
      </c>
      <c r="AS58" s="13">
        <v>1.0</v>
      </c>
      <c r="AT58" s="13">
        <v>0.0</v>
      </c>
      <c r="AU58" s="13">
        <v>1.0</v>
      </c>
      <c r="AV58" s="13">
        <v>5.0</v>
      </c>
      <c r="AW58" s="13">
        <v>196.0</v>
      </c>
      <c r="AX58" s="13">
        <v>196.0</v>
      </c>
    </row>
    <row r="59">
      <c r="A59" s="10" t="s">
        <v>28</v>
      </c>
      <c r="B59" s="10" t="s">
        <v>837</v>
      </c>
      <c r="C59" s="29">
        <v>42674.0</v>
      </c>
      <c r="D59" s="13">
        <v>0.0</v>
      </c>
      <c r="E59" s="13">
        <v>1.0</v>
      </c>
      <c r="F59" s="13">
        <v>1.0</v>
      </c>
      <c r="G59" s="13">
        <v>0.0</v>
      </c>
      <c r="H59" s="13">
        <v>0.0</v>
      </c>
      <c r="I59" s="13">
        <v>0.0</v>
      </c>
      <c r="J59" s="13">
        <v>0.0</v>
      </c>
      <c r="K59" s="13">
        <v>1.0</v>
      </c>
      <c r="L59" s="13">
        <v>0.0</v>
      </c>
      <c r="M59" s="13">
        <v>1.0</v>
      </c>
      <c r="N59" s="13">
        <v>4.0</v>
      </c>
      <c r="O59" s="13">
        <v>1.0</v>
      </c>
      <c r="P59" s="13">
        <v>1.0</v>
      </c>
      <c r="Q59" s="10"/>
      <c r="R59" s="27" t="s">
        <v>36</v>
      </c>
      <c r="S59" s="27" t="s">
        <v>553</v>
      </c>
      <c r="T59" s="30">
        <v>44869.0</v>
      </c>
      <c r="U59" s="31">
        <v>0.0</v>
      </c>
      <c r="V59" s="31">
        <v>1.0</v>
      </c>
      <c r="W59" s="31">
        <v>1.0</v>
      </c>
      <c r="X59" s="31">
        <v>0.0</v>
      </c>
      <c r="Y59" s="31">
        <v>0.0</v>
      </c>
      <c r="Z59" s="31">
        <v>0.0</v>
      </c>
      <c r="AA59" s="31">
        <v>0.0</v>
      </c>
      <c r="AB59" s="31">
        <v>1.0</v>
      </c>
      <c r="AC59" s="31">
        <v>0.0</v>
      </c>
      <c r="AD59" s="31">
        <v>1.0</v>
      </c>
      <c r="AE59" s="31">
        <v>4.0</v>
      </c>
      <c r="AF59" s="31">
        <v>11.0</v>
      </c>
      <c r="AG59" s="31">
        <v>11.0</v>
      </c>
      <c r="AH59" s="13"/>
      <c r="AI59" s="10" t="s">
        <v>44</v>
      </c>
      <c r="AJ59" s="10" t="s">
        <v>838</v>
      </c>
      <c r="AK59" s="29">
        <v>44182.0</v>
      </c>
      <c r="AL59" s="13">
        <v>0.0</v>
      </c>
      <c r="AM59" s="13">
        <v>0.0</v>
      </c>
      <c r="AN59" s="13">
        <v>1.0</v>
      </c>
      <c r="AO59" s="13">
        <v>1.0</v>
      </c>
      <c r="AP59" s="13">
        <v>0.0</v>
      </c>
      <c r="AQ59" s="13">
        <v>0.0</v>
      </c>
      <c r="AR59" s="13">
        <v>0.0</v>
      </c>
      <c r="AS59" s="13">
        <v>0.0</v>
      </c>
      <c r="AT59" s="13">
        <v>0.0</v>
      </c>
      <c r="AU59" s="13">
        <v>1.0</v>
      </c>
      <c r="AV59" s="13">
        <v>3.0</v>
      </c>
      <c r="AW59" s="13">
        <v>196.0</v>
      </c>
      <c r="AX59" s="13">
        <v>196.0</v>
      </c>
    </row>
    <row r="60">
      <c r="A60" s="10" t="s">
        <v>28</v>
      </c>
      <c r="B60" s="10" t="s">
        <v>839</v>
      </c>
      <c r="C60" s="29">
        <v>42678.0</v>
      </c>
      <c r="D60" s="13">
        <v>0.0</v>
      </c>
      <c r="E60" s="13">
        <v>1.0</v>
      </c>
      <c r="F60" s="13">
        <v>1.0</v>
      </c>
      <c r="G60" s="13">
        <v>0.0</v>
      </c>
      <c r="H60" s="13">
        <v>0.0</v>
      </c>
      <c r="I60" s="13">
        <v>0.0</v>
      </c>
      <c r="J60" s="13">
        <v>0.0</v>
      </c>
      <c r="K60" s="13">
        <v>1.0</v>
      </c>
      <c r="L60" s="13">
        <v>0.0</v>
      </c>
      <c r="M60" s="13">
        <v>1.0</v>
      </c>
      <c r="N60" s="13">
        <v>4.0</v>
      </c>
      <c r="O60" s="13">
        <v>1.0</v>
      </c>
      <c r="P60" s="13">
        <v>1.0</v>
      </c>
      <c r="Q60" s="10"/>
      <c r="R60" s="27" t="s">
        <v>36</v>
      </c>
      <c r="S60" s="27" t="s">
        <v>554</v>
      </c>
      <c r="T60" s="30">
        <v>44876.0</v>
      </c>
      <c r="U60" s="31">
        <v>0.0</v>
      </c>
      <c r="V60" s="31">
        <v>1.0</v>
      </c>
      <c r="W60" s="31">
        <v>1.0</v>
      </c>
      <c r="X60" s="31">
        <v>0.0</v>
      </c>
      <c r="Y60" s="31">
        <v>0.0</v>
      </c>
      <c r="Z60" s="31">
        <v>0.0</v>
      </c>
      <c r="AA60" s="31">
        <v>0.0</v>
      </c>
      <c r="AB60" s="31">
        <v>1.0</v>
      </c>
      <c r="AC60" s="31">
        <v>0.0</v>
      </c>
      <c r="AD60" s="31">
        <v>1.0</v>
      </c>
      <c r="AE60" s="31">
        <v>4.0</v>
      </c>
      <c r="AF60" s="31">
        <v>11.0</v>
      </c>
      <c r="AG60" s="31">
        <v>11.0</v>
      </c>
      <c r="AH60" s="13"/>
      <c r="AI60" s="10" t="s">
        <v>44</v>
      </c>
      <c r="AJ60" s="10" t="s">
        <v>840</v>
      </c>
      <c r="AK60" s="29">
        <v>44288.0</v>
      </c>
      <c r="AL60" s="13">
        <v>0.0</v>
      </c>
      <c r="AM60" s="13">
        <v>1.0</v>
      </c>
      <c r="AN60" s="13">
        <v>1.0</v>
      </c>
      <c r="AO60" s="13">
        <v>0.0</v>
      </c>
      <c r="AP60" s="13">
        <v>0.0</v>
      </c>
      <c r="AQ60" s="13">
        <v>0.0</v>
      </c>
      <c r="AR60" s="13">
        <v>1.0</v>
      </c>
      <c r="AS60" s="13">
        <v>1.0</v>
      </c>
      <c r="AT60" s="13">
        <v>0.0</v>
      </c>
      <c r="AU60" s="13">
        <v>1.0</v>
      </c>
      <c r="AV60" s="13">
        <v>5.0</v>
      </c>
      <c r="AW60" s="13">
        <v>196.0</v>
      </c>
      <c r="AX60" s="13">
        <v>196.0</v>
      </c>
    </row>
    <row r="61">
      <c r="A61" s="10" t="s">
        <v>28</v>
      </c>
      <c r="B61" s="10" t="s">
        <v>841</v>
      </c>
      <c r="C61" s="29">
        <v>42678.0</v>
      </c>
      <c r="D61" s="13">
        <v>0.0</v>
      </c>
      <c r="E61" s="13">
        <v>1.0</v>
      </c>
      <c r="F61" s="13">
        <v>1.0</v>
      </c>
      <c r="G61" s="13">
        <v>0.0</v>
      </c>
      <c r="H61" s="13">
        <v>0.0</v>
      </c>
      <c r="I61" s="13">
        <v>0.0</v>
      </c>
      <c r="J61" s="13">
        <v>0.0</v>
      </c>
      <c r="K61" s="13">
        <v>1.0</v>
      </c>
      <c r="L61" s="13">
        <v>0.0</v>
      </c>
      <c r="M61" s="13">
        <v>1.0</v>
      </c>
      <c r="N61" s="13">
        <v>4.0</v>
      </c>
      <c r="O61" s="13">
        <v>1.0</v>
      </c>
      <c r="P61" s="13">
        <v>1.0</v>
      </c>
      <c r="Q61" s="10"/>
      <c r="R61" s="27" t="s">
        <v>36</v>
      </c>
      <c r="S61" s="27" t="s">
        <v>555</v>
      </c>
      <c r="T61" s="30">
        <v>44890.0</v>
      </c>
      <c r="U61" s="31">
        <v>0.0</v>
      </c>
      <c r="V61" s="31">
        <v>1.0</v>
      </c>
      <c r="W61" s="31">
        <v>1.0</v>
      </c>
      <c r="X61" s="31">
        <v>0.0</v>
      </c>
      <c r="Y61" s="31">
        <v>0.0</v>
      </c>
      <c r="Z61" s="31">
        <v>0.0</v>
      </c>
      <c r="AA61" s="31">
        <v>0.0</v>
      </c>
      <c r="AB61" s="31">
        <v>1.0</v>
      </c>
      <c r="AC61" s="31">
        <v>0.0</v>
      </c>
      <c r="AD61" s="31">
        <v>1.0</v>
      </c>
      <c r="AE61" s="31">
        <v>4.0</v>
      </c>
      <c r="AF61" s="31">
        <v>11.0</v>
      </c>
      <c r="AG61" s="31">
        <v>11.0</v>
      </c>
      <c r="AH61" s="13"/>
      <c r="AI61" s="10" t="s">
        <v>44</v>
      </c>
      <c r="AJ61" s="10" t="s">
        <v>842</v>
      </c>
      <c r="AK61" s="29">
        <v>44313.0</v>
      </c>
      <c r="AL61" s="13">
        <v>0.0</v>
      </c>
      <c r="AM61" s="13">
        <v>1.0</v>
      </c>
      <c r="AN61" s="13">
        <v>1.0</v>
      </c>
      <c r="AO61" s="13">
        <v>1.0</v>
      </c>
      <c r="AP61" s="13">
        <v>1.0</v>
      </c>
      <c r="AQ61" s="13">
        <v>0.0</v>
      </c>
      <c r="AR61" s="13">
        <v>0.0</v>
      </c>
      <c r="AS61" s="13">
        <v>1.0</v>
      </c>
      <c r="AT61" s="13">
        <v>0.0</v>
      </c>
      <c r="AU61" s="13">
        <v>1.0</v>
      </c>
      <c r="AV61" s="13">
        <v>6.0</v>
      </c>
      <c r="AW61" s="13">
        <v>208.0</v>
      </c>
      <c r="AX61" s="13">
        <v>208.0</v>
      </c>
    </row>
    <row r="62">
      <c r="A62" s="10" t="s">
        <v>28</v>
      </c>
      <c r="B62" s="10" t="s">
        <v>843</v>
      </c>
      <c r="C62" s="29">
        <v>42681.0</v>
      </c>
      <c r="D62" s="13">
        <v>0.0</v>
      </c>
      <c r="E62" s="13">
        <v>1.0</v>
      </c>
      <c r="F62" s="13">
        <v>1.0</v>
      </c>
      <c r="G62" s="13">
        <v>0.0</v>
      </c>
      <c r="H62" s="13">
        <v>0.0</v>
      </c>
      <c r="I62" s="13">
        <v>0.0</v>
      </c>
      <c r="J62" s="13">
        <v>1.0</v>
      </c>
      <c r="K62" s="13">
        <v>1.0</v>
      </c>
      <c r="L62" s="13">
        <v>0.0</v>
      </c>
      <c r="M62" s="13">
        <v>1.0</v>
      </c>
      <c r="N62" s="13">
        <v>5.0</v>
      </c>
      <c r="O62" s="13">
        <v>1.0</v>
      </c>
      <c r="P62" s="13">
        <v>1.0</v>
      </c>
      <c r="Q62" s="10"/>
      <c r="R62" s="27" t="s">
        <v>36</v>
      </c>
      <c r="S62" s="27" t="s">
        <v>556</v>
      </c>
      <c r="T62" s="30">
        <v>44908.0</v>
      </c>
      <c r="U62" s="31">
        <v>0.0</v>
      </c>
      <c r="V62" s="31">
        <v>1.0</v>
      </c>
      <c r="W62" s="31">
        <v>1.0</v>
      </c>
      <c r="X62" s="31">
        <v>0.0</v>
      </c>
      <c r="Y62" s="31">
        <v>0.0</v>
      </c>
      <c r="Z62" s="31">
        <v>0.0</v>
      </c>
      <c r="AA62" s="31">
        <v>1.0</v>
      </c>
      <c r="AB62" s="31">
        <v>1.0</v>
      </c>
      <c r="AC62" s="31">
        <v>0.0</v>
      </c>
      <c r="AD62" s="31">
        <v>1.0</v>
      </c>
      <c r="AE62" s="31">
        <v>5.0</v>
      </c>
      <c r="AF62" s="31">
        <v>11.0</v>
      </c>
      <c r="AG62" s="31">
        <v>11.0</v>
      </c>
      <c r="AH62" s="13"/>
      <c r="AI62" s="10" t="s">
        <v>44</v>
      </c>
      <c r="AJ62" s="10" t="s">
        <v>844</v>
      </c>
      <c r="AK62" s="29">
        <v>44432.0</v>
      </c>
      <c r="AL62" s="13">
        <v>0.0</v>
      </c>
      <c r="AM62" s="13">
        <v>1.0</v>
      </c>
      <c r="AN62" s="13">
        <v>1.0</v>
      </c>
      <c r="AO62" s="13">
        <v>0.0</v>
      </c>
      <c r="AP62" s="13">
        <v>0.0</v>
      </c>
      <c r="AQ62" s="13">
        <v>0.0</v>
      </c>
      <c r="AR62" s="13">
        <v>1.0</v>
      </c>
      <c r="AS62" s="13">
        <v>1.0</v>
      </c>
      <c r="AT62" s="13">
        <v>0.0</v>
      </c>
      <c r="AU62" s="13">
        <v>1.0</v>
      </c>
      <c r="AV62" s="13">
        <v>5.0</v>
      </c>
      <c r="AW62" s="13">
        <v>208.0</v>
      </c>
      <c r="AX62" s="13">
        <v>208.0</v>
      </c>
    </row>
    <row r="63">
      <c r="A63" s="10" t="s">
        <v>28</v>
      </c>
      <c r="B63" s="10" t="s">
        <v>845</v>
      </c>
      <c r="C63" s="29">
        <v>42681.0</v>
      </c>
      <c r="D63" s="13">
        <v>0.0</v>
      </c>
      <c r="E63" s="13">
        <v>1.0</v>
      </c>
      <c r="F63" s="13">
        <v>1.0</v>
      </c>
      <c r="G63" s="13">
        <v>0.0</v>
      </c>
      <c r="H63" s="13">
        <v>0.0</v>
      </c>
      <c r="I63" s="13">
        <v>0.0</v>
      </c>
      <c r="J63" s="13">
        <v>1.0</v>
      </c>
      <c r="K63" s="13">
        <v>1.0</v>
      </c>
      <c r="L63" s="13">
        <v>0.0</v>
      </c>
      <c r="M63" s="13">
        <v>1.0</v>
      </c>
      <c r="N63" s="13">
        <v>5.0</v>
      </c>
      <c r="O63" s="13">
        <v>1.0</v>
      </c>
      <c r="P63" s="13">
        <v>1.0</v>
      </c>
      <c r="Q63" s="10"/>
      <c r="R63" s="27" t="s">
        <v>36</v>
      </c>
      <c r="S63" s="27" t="s">
        <v>557</v>
      </c>
      <c r="T63" s="30">
        <v>44961.0</v>
      </c>
      <c r="U63" s="31">
        <v>0.0</v>
      </c>
      <c r="V63" s="31">
        <v>1.0</v>
      </c>
      <c r="W63" s="31">
        <v>1.0</v>
      </c>
      <c r="X63" s="31">
        <v>0.0</v>
      </c>
      <c r="Y63" s="31">
        <v>0.0</v>
      </c>
      <c r="Z63" s="31">
        <v>0.0</v>
      </c>
      <c r="AA63" s="31">
        <v>1.0</v>
      </c>
      <c r="AB63" s="31">
        <v>1.0</v>
      </c>
      <c r="AC63" s="31">
        <v>0.0</v>
      </c>
      <c r="AD63" s="31">
        <v>1.0</v>
      </c>
      <c r="AE63" s="31">
        <v>5.0</v>
      </c>
      <c r="AF63" s="31">
        <v>11.0</v>
      </c>
      <c r="AG63" s="31">
        <v>11.0</v>
      </c>
      <c r="AH63" s="13"/>
      <c r="AI63" s="10" t="s">
        <v>44</v>
      </c>
      <c r="AJ63" s="10" t="s">
        <v>846</v>
      </c>
      <c r="AK63" s="29">
        <v>44438.0</v>
      </c>
      <c r="AL63" s="13">
        <v>0.0</v>
      </c>
      <c r="AM63" s="13">
        <v>1.0</v>
      </c>
      <c r="AN63" s="13">
        <v>1.0</v>
      </c>
      <c r="AO63" s="13">
        <v>0.0</v>
      </c>
      <c r="AP63" s="13">
        <v>0.0</v>
      </c>
      <c r="AQ63" s="13">
        <v>0.0</v>
      </c>
      <c r="AR63" s="13">
        <v>1.0</v>
      </c>
      <c r="AS63" s="13">
        <v>1.0</v>
      </c>
      <c r="AT63" s="13">
        <v>0.0</v>
      </c>
      <c r="AU63" s="13">
        <v>1.0</v>
      </c>
      <c r="AV63" s="13">
        <v>6.0</v>
      </c>
      <c r="AW63" s="13">
        <v>208.0</v>
      </c>
      <c r="AX63" s="13">
        <v>208.0</v>
      </c>
    </row>
    <row r="64">
      <c r="A64" s="10" t="s">
        <v>28</v>
      </c>
      <c r="B64" s="10" t="s">
        <v>847</v>
      </c>
      <c r="C64" s="29">
        <v>42740.0</v>
      </c>
      <c r="D64" s="13">
        <v>0.0</v>
      </c>
      <c r="E64" s="13">
        <v>1.0</v>
      </c>
      <c r="F64" s="13">
        <v>1.0</v>
      </c>
      <c r="G64" s="13">
        <v>0.0</v>
      </c>
      <c r="H64" s="13">
        <v>0.0</v>
      </c>
      <c r="I64" s="13">
        <v>0.0</v>
      </c>
      <c r="J64" s="13">
        <v>0.0</v>
      </c>
      <c r="K64" s="13">
        <v>1.0</v>
      </c>
      <c r="L64" s="13">
        <v>0.0</v>
      </c>
      <c r="M64" s="13">
        <v>1.0</v>
      </c>
      <c r="N64" s="13">
        <v>4.0</v>
      </c>
      <c r="O64" s="13">
        <v>1.0</v>
      </c>
      <c r="P64" s="13">
        <v>1.0</v>
      </c>
      <c r="Q64" s="10"/>
      <c r="R64" s="27" t="s">
        <v>36</v>
      </c>
      <c r="S64" s="27" t="s">
        <v>558</v>
      </c>
      <c r="T64" s="30">
        <v>45053.0</v>
      </c>
      <c r="U64" s="31">
        <v>0.0</v>
      </c>
      <c r="V64" s="31">
        <v>1.0</v>
      </c>
      <c r="W64" s="31">
        <v>1.0</v>
      </c>
      <c r="X64" s="31">
        <v>0.0</v>
      </c>
      <c r="Y64" s="31">
        <v>0.0</v>
      </c>
      <c r="Z64" s="31">
        <v>0.0</v>
      </c>
      <c r="AA64" s="31">
        <v>1.0</v>
      </c>
      <c r="AB64" s="31">
        <v>1.0</v>
      </c>
      <c r="AC64" s="31">
        <v>0.0</v>
      </c>
      <c r="AD64" s="31">
        <v>1.0</v>
      </c>
      <c r="AE64" s="31">
        <v>5.0</v>
      </c>
      <c r="AF64" s="31">
        <v>12.0</v>
      </c>
      <c r="AG64" s="31">
        <v>12.0</v>
      </c>
      <c r="AH64" s="13"/>
      <c r="AI64" s="10" t="s">
        <v>44</v>
      </c>
      <c r="AJ64" s="10" t="s">
        <v>848</v>
      </c>
      <c r="AK64" s="29">
        <v>44449.0</v>
      </c>
      <c r="AL64" s="13">
        <v>1.0</v>
      </c>
      <c r="AM64" s="13">
        <v>0.0</v>
      </c>
      <c r="AN64" s="13">
        <v>1.0</v>
      </c>
      <c r="AO64" s="13">
        <v>0.0</v>
      </c>
      <c r="AP64" s="13">
        <v>0.0</v>
      </c>
      <c r="AQ64" s="13">
        <v>0.0</v>
      </c>
      <c r="AR64" s="13">
        <v>0.0</v>
      </c>
      <c r="AS64" s="13">
        <v>0.0</v>
      </c>
      <c r="AT64" s="13">
        <v>0.0</v>
      </c>
      <c r="AU64" s="13">
        <v>1.0</v>
      </c>
      <c r="AV64" s="13">
        <v>5.0</v>
      </c>
      <c r="AW64" s="13">
        <v>208.0</v>
      </c>
      <c r="AX64" s="13">
        <v>208.0</v>
      </c>
    </row>
    <row r="65">
      <c r="A65" s="10" t="s">
        <v>28</v>
      </c>
      <c r="B65" s="10" t="s">
        <v>849</v>
      </c>
      <c r="C65" s="29">
        <v>42832.0</v>
      </c>
      <c r="D65" s="13">
        <v>0.0</v>
      </c>
      <c r="E65" s="13">
        <v>1.0</v>
      </c>
      <c r="F65" s="13">
        <v>1.0</v>
      </c>
      <c r="G65" s="13">
        <v>0.0</v>
      </c>
      <c r="H65" s="13">
        <v>0.0</v>
      </c>
      <c r="I65" s="13">
        <v>0.0</v>
      </c>
      <c r="J65" s="13">
        <v>1.0</v>
      </c>
      <c r="K65" s="13">
        <v>1.0</v>
      </c>
      <c r="L65" s="13">
        <v>0.0</v>
      </c>
      <c r="M65" s="13">
        <v>1.0</v>
      </c>
      <c r="N65" s="13">
        <v>5.0</v>
      </c>
      <c r="O65" s="13">
        <v>1.0</v>
      </c>
      <c r="P65" s="13">
        <v>1.0</v>
      </c>
      <c r="Q65" s="10"/>
      <c r="R65" s="27" t="s">
        <v>36</v>
      </c>
      <c r="S65" s="27" t="s">
        <v>559</v>
      </c>
      <c r="T65" s="30">
        <v>45148.0</v>
      </c>
      <c r="U65" s="31">
        <v>0.0</v>
      </c>
      <c r="V65" s="31">
        <v>1.0</v>
      </c>
      <c r="W65" s="31">
        <v>1.0</v>
      </c>
      <c r="X65" s="31">
        <v>0.0</v>
      </c>
      <c r="Y65" s="31">
        <v>0.0</v>
      </c>
      <c r="Z65" s="31">
        <v>0.0</v>
      </c>
      <c r="AA65" s="31">
        <v>1.0</v>
      </c>
      <c r="AB65" s="31">
        <v>1.0</v>
      </c>
      <c r="AC65" s="31">
        <v>0.0</v>
      </c>
      <c r="AD65" s="31">
        <v>1.0</v>
      </c>
      <c r="AE65" s="31">
        <v>5.0</v>
      </c>
      <c r="AF65" s="31">
        <v>13.0</v>
      </c>
      <c r="AG65" s="31">
        <v>13.0</v>
      </c>
      <c r="AH65" s="13"/>
      <c r="AI65" s="10" t="s">
        <v>44</v>
      </c>
      <c r="AJ65" s="10" t="s">
        <v>850</v>
      </c>
      <c r="AK65" s="29">
        <v>44503.0</v>
      </c>
      <c r="AL65" s="13">
        <v>0.0</v>
      </c>
      <c r="AM65" s="13">
        <v>1.0</v>
      </c>
      <c r="AN65" s="13">
        <v>1.0</v>
      </c>
      <c r="AO65" s="13">
        <v>0.0</v>
      </c>
      <c r="AP65" s="13">
        <v>0.0</v>
      </c>
      <c r="AQ65" s="13">
        <v>0.0</v>
      </c>
      <c r="AR65" s="13">
        <v>1.0</v>
      </c>
      <c r="AS65" s="13">
        <v>1.0</v>
      </c>
      <c r="AT65" s="13">
        <v>0.0</v>
      </c>
      <c r="AU65" s="13">
        <v>1.0</v>
      </c>
      <c r="AV65" s="13">
        <v>5.0</v>
      </c>
      <c r="AW65" s="13">
        <v>224.0</v>
      </c>
      <c r="AX65" s="13">
        <v>224.0</v>
      </c>
    </row>
    <row r="66">
      <c r="A66" s="10" t="s">
        <v>28</v>
      </c>
      <c r="B66" s="13">
        <v>0.3</v>
      </c>
      <c r="C66" s="29">
        <v>42923.0</v>
      </c>
      <c r="D66" s="13">
        <v>0.0</v>
      </c>
      <c r="E66" s="13">
        <v>1.0</v>
      </c>
      <c r="F66" s="13">
        <v>1.0</v>
      </c>
      <c r="G66" s="13">
        <v>0.0</v>
      </c>
      <c r="H66" s="13">
        <v>0.0</v>
      </c>
      <c r="I66" s="13">
        <v>0.0</v>
      </c>
      <c r="J66" s="13">
        <v>1.0</v>
      </c>
      <c r="K66" s="13">
        <v>1.0</v>
      </c>
      <c r="L66" s="13">
        <v>0.0</v>
      </c>
      <c r="M66" s="13">
        <v>1.0</v>
      </c>
      <c r="N66" s="13">
        <v>5.0</v>
      </c>
      <c r="O66" s="13">
        <v>1.0</v>
      </c>
      <c r="P66" s="13">
        <v>1.0</v>
      </c>
      <c r="Q66" s="10"/>
      <c r="R66" s="27" t="s">
        <v>36</v>
      </c>
      <c r="S66" s="27" t="s">
        <v>560</v>
      </c>
      <c r="T66" s="30">
        <v>45246.0</v>
      </c>
      <c r="U66" s="31">
        <v>0.0</v>
      </c>
      <c r="V66" s="31">
        <v>1.0</v>
      </c>
      <c r="W66" s="31">
        <v>1.0</v>
      </c>
      <c r="X66" s="31">
        <v>0.0</v>
      </c>
      <c r="Y66" s="31">
        <v>0.0</v>
      </c>
      <c r="Z66" s="31">
        <v>0.0</v>
      </c>
      <c r="AA66" s="31">
        <v>1.0</v>
      </c>
      <c r="AB66" s="31">
        <v>1.0</v>
      </c>
      <c r="AC66" s="31">
        <v>0.0</v>
      </c>
      <c r="AD66" s="31">
        <v>1.0</v>
      </c>
      <c r="AE66" s="31">
        <v>5.0</v>
      </c>
      <c r="AF66" s="31">
        <v>13.0</v>
      </c>
      <c r="AG66" s="31">
        <v>13.0</v>
      </c>
      <c r="AH66" s="13"/>
      <c r="AI66" s="10" t="s">
        <v>44</v>
      </c>
      <c r="AJ66" s="10" t="s">
        <v>851</v>
      </c>
      <c r="AK66" s="29">
        <v>44531.0</v>
      </c>
      <c r="AL66" s="13">
        <v>0.0</v>
      </c>
      <c r="AM66" s="13">
        <v>0.0</v>
      </c>
      <c r="AN66" s="13">
        <v>1.0</v>
      </c>
      <c r="AO66" s="13">
        <v>1.0</v>
      </c>
      <c r="AP66" s="13">
        <v>1.0</v>
      </c>
      <c r="AQ66" s="13">
        <v>0.0</v>
      </c>
      <c r="AR66" s="13">
        <v>0.0</v>
      </c>
      <c r="AS66" s="13">
        <v>0.0</v>
      </c>
      <c r="AT66" s="13">
        <v>0.0</v>
      </c>
      <c r="AU66" s="13">
        <v>1.0</v>
      </c>
      <c r="AV66" s="13">
        <v>4.0</v>
      </c>
      <c r="AW66" s="13">
        <v>224.0</v>
      </c>
      <c r="AX66" s="13">
        <v>224.0</v>
      </c>
    </row>
    <row r="67">
      <c r="A67" s="10" t="s">
        <v>28</v>
      </c>
      <c r="B67" s="10" t="s">
        <v>852</v>
      </c>
      <c r="C67" s="29">
        <v>42927.0</v>
      </c>
      <c r="D67" s="13">
        <v>0.0</v>
      </c>
      <c r="E67" s="13">
        <v>1.0</v>
      </c>
      <c r="F67" s="13">
        <v>1.0</v>
      </c>
      <c r="G67" s="13">
        <v>1.0</v>
      </c>
      <c r="H67" s="13">
        <v>0.0</v>
      </c>
      <c r="I67" s="13">
        <v>0.0</v>
      </c>
      <c r="J67" s="13">
        <v>0.0</v>
      </c>
      <c r="K67" s="13">
        <v>1.0</v>
      </c>
      <c r="L67" s="13">
        <v>1.0</v>
      </c>
      <c r="M67" s="13">
        <v>1.0</v>
      </c>
      <c r="N67" s="13">
        <v>6.0</v>
      </c>
      <c r="O67" s="13">
        <v>1.0</v>
      </c>
      <c r="P67" s="13">
        <v>1.0</v>
      </c>
      <c r="Q67" s="10"/>
      <c r="R67" s="27" t="s">
        <v>36</v>
      </c>
      <c r="S67" s="27" t="s">
        <v>561</v>
      </c>
      <c r="T67" s="30">
        <v>45281.0</v>
      </c>
      <c r="U67" s="31">
        <v>0.0</v>
      </c>
      <c r="V67" s="31">
        <v>1.0</v>
      </c>
      <c r="W67" s="31">
        <v>1.0</v>
      </c>
      <c r="X67" s="31">
        <v>0.0</v>
      </c>
      <c r="Y67" s="31">
        <v>0.0</v>
      </c>
      <c r="Z67" s="31">
        <v>0.0</v>
      </c>
      <c r="AA67" s="31">
        <v>1.0</v>
      </c>
      <c r="AB67" s="31">
        <v>1.0</v>
      </c>
      <c r="AC67" s="31">
        <v>0.0</v>
      </c>
      <c r="AD67" s="31">
        <v>1.0</v>
      </c>
      <c r="AE67" s="31">
        <v>5.0</v>
      </c>
      <c r="AF67" s="31">
        <v>13.0</v>
      </c>
      <c r="AG67" s="31">
        <v>13.0</v>
      </c>
      <c r="AH67" s="13"/>
      <c r="AI67" s="10" t="s">
        <v>44</v>
      </c>
      <c r="AJ67" s="10" t="s">
        <v>500</v>
      </c>
      <c r="AK67" s="29">
        <v>44641.0</v>
      </c>
      <c r="AL67" s="13">
        <v>0.0</v>
      </c>
      <c r="AM67" s="13">
        <v>1.0</v>
      </c>
      <c r="AN67" s="13">
        <v>1.0</v>
      </c>
      <c r="AO67" s="13">
        <v>0.0</v>
      </c>
      <c r="AP67" s="13">
        <v>0.0</v>
      </c>
      <c r="AQ67" s="13">
        <v>0.0</v>
      </c>
      <c r="AR67" s="13">
        <v>1.0</v>
      </c>
      <c r="AS67" s="13">
        <v>1.0</v>
      </c>
      <c r="AT67" s="13">
        <v>0.0</v>
      </c>
      <c r="AU67" s="13">
        <v>1.0</v>
      </c>
      <c r="AV67" s="13">
        <v>6.0</v>
      </c>
      <c r="AW67" s="13">
        <v>203.0</v>
      </c>
      <c r="AX67" s="13">
        <v>203.0</v>
      </c>
    </row>
    <row r="68">
      <c r="A68" s="10" t="s">
        <v>28</v>
      </c>
      <c r="B68" s="13">
        <v>0.4</v>
      </c>
      <c r="C68" s="29">
        <v>42993.0</v>
      </c>
      <c r="D68" s="13">
        <v>0.0</v>
      </c>
      <c r="E68" s="13">
        <v>1.0</v>
      </c>
      <c r="F68" s="13">
        <v>1.0</v>
      </c>
      <c r="G68" s="13">
        <v>0.0</v>
      </c>
      <c r="H68" s="13">
        <v>0.0</v>
      </c>
      <c r="I68" s="13">
        <v>0.0</v>
      </c>
      <c r="J68" s="13">
        <v>1.0</v>
      </c>
      <c r="K68" s="13">
        <v>1.0</v>
      </c>
      <c r="L68" s="13">
        <v>0.0</v>
      </c>
      <c r="M68" s="13">
        <v>1.0</v>
      </c>
      <c r="N68" s="13">
        <v>5.0</v>
      </c>
      <c r="O68" s="13">
        <v>3.0</v>
      </c>
      <c r="P68" s="13">
        <v>3.0</v>
      </c>
      <c r="Q68" s="10"/>
      <c r="R68" s="27" t="s">
        <v>36</v>
      </c>
      <c r="S68" s="27" t="s">
        <v>562</v>
      </c>
      <c r="T68" s="30">
        <v>45307.0</v>
      </c>
      <c r="U68" s="31">
        <v>0.0</v>
      </c>
      <c r="V68" s="31">
        <v>1.0</v>
      </c>
      <c r="W68" s="31">
        <v>1.0</v>
      </c>
      <c r="X68" s="31">
        <v>0.0</v>
      </c>
      <c r="Y68" s="31">
        <v>0.0</v>
      </c>
      <c r="Z68" s="31">
        <v>0.0</v>
      </c>
      <c r="AA68" s="31">
        <v>1.0</v>
      </c>
      <c r="AB68" s="31">
        <v>1.0</v>
      </c>
      <c r="AC68" s="31">
        <v>0.0</v>
      </c>
      <c r="AD68" s="31">
        <v>1.0</v>
      </c>
      <c r="AE68" s="31">
        <v>5.0</v>
      </c>
      <c r="AF68" s="31">
        <v>13.0</v>
      </c>
      <c r="AG68" s="31">
        <v>13.0</v>
      </c>
      <c r="AH68" s="13"/>
      <c r="AI68" s="10" t="s">
        <v>44</v>
      </c>
      <c r="AJ68" s="10" t="s">
        <v>853</v>
      </c>
      <c r="AK68" s="29">
        <v>44666.0</v>
      </c>
      <c r="AL68" s="13">
        <v>0.0</v>
      </c>
      <c r="AM68" s="13">
        <v>1.0</v>
      </c>
      <c r="AN68" s="13">
        <v>1.0</v>
      </c>
      <c r="AO68" s="13">
        <v>0.0</v>
      </c>
      <c r="AP68" s="13">
        <v>0.0</v>
      </c>
      <c r="AQ68" s="13">
        <v>0.0</v>
      </c>
      <c r="AR68" s="13">
        <v>1.0</v>
      </c>
      <c r="AS68" s="13">
        <v>1.0</v>
      </c>
      <c r="AT68" s="13">
        <v>0.0</v>
      </c>
      <c r="AU68" s="13">
        <v>1.0</v>
      </c>
      <c r="AV68" s="13">
        <v>5.0</v>
      </c>
      <c r="AW68" s="13">
        <v>202.0</v>
      </c>
      <c r="AX68" s="13">
        <v>202.0</v>
      </c>
    </row>
    <row r="69">
      <c r="A69" s="10" t="s">
        <v>28</v>
      </c>
      <c r="B69" s="10" t="s">
        <v>854</v>
      </c>
      <c r="C69" s="29">
        <v>42998.0</v>
      </c>
      <c r="D69" s="13">
        <v>0.0</v>
      </c>
      <c r="E69" s="13">
        <v>0.0</v>
      </c>
      <c r="F69" s="13">
        <v>1.0</v>
      </c>
      <c r="G69" s="13">
        <v>1.0</v>
      </c>
      <c r="H69" s="13">
        <v>0.0</v>
      </c>
      <c r="I69" s="13">
        <v>0.0</v>
      </c>
      <c r="J69" s="13">
        <v>0.0</v>
      </c>
      <c r="K69" s="13">
        <v>1.0</v>
      </c>
      <c r="L69" s="13">
        <v>1.0</v>
      </c>
      <c r="M69" s="13">
        <v>1.0</v>
      </c>
      <c r="N69" s="13">
        <v>5.0</v>
      </c>
      <c r="O69" s="13">
        <v>3.0</v>
      </c>
      <c r="P69" s="13">
        <v>3.0</v>
      </c>
      <c r="Q69" s="10"/>
      <c r="R69" s="27" t="s">
        <v>36</v>
      </c>
      <c r="S69" s="27" t="s">
        <v>563</v>
      </c>
      <c r="T69" s="30">
        <v>45314.0</v>
      </c>
      <c r="U69" s="31">
        <v>0.0</v>
      </c>
      <c r="V69" s="31">
        <v>1.0</v>
      </c>
      <c r="W69" s="31">
        <v>1.0</v>
      </c>
      <c r="X69" s="31">
        <v>0.0</v>
      </c>
      <c r="Y69" s="31">
        <v>0.0</v>
      </c>
      <c r="Z69" s="31">
        <v>0.0</v>
      </c>
      <c r="AA69" s="31">
        <v>1.0</v>
      </c>
      <c r="AB69" s="31">
        <v>1.0</v>
      </c>
      <c r="AC69" s="31">
        <v>0.0</v>
      </c>
      <c r="AD69" s="31">
        <v>1.0</v>
      </c>
      <c r="AE69" s="31">
        <v>5.0</v>
      </c>
      <c r="AF69" s="31">
        <v>14.0</v>
      </c>
      <c r="AG69" s="31">
        <v>14.0</v>
      </c>
      <c r="AH69" s="13"/>
      <c r="AI69" s="10" t="s">
        <v>44</v>
      </c>
      <c r="AJ69" s="10" t="s">
        <v>855</v>
      </c>
      <c r="AK69" s="29">
        <v>44693.0</v>
      </c>
      <c r="AL69" s="13">
        <v>0.0</v>
      </c>
      <c r="AM69" s="13">
        <v>1.0</v>
      </c>
      <c r="AN69" s="13">
        <v>1.0</v>
      </c>
      <c r="AO69" s="13">
        <v>1.0</v>
      </c>
      <c r="AP69" s="13">
        <v>1.0</v>
      </c>
      <c r="AQ69" s="13">
        <v>0.0</v>
      </c>
      <c r="AR69" s="13">
        <v>0.0</v>
      </c>
      <c r="AS69" s="13">
        <v>1.0</v>
      </c>
      <c r="AT69" s="13">
        <v>0.0</v>
      </c>
      <c r="AU69" s="13">
        <v>1.0</v>
      </c>
      <c r="AV69" s="13">
        <v>6.0</v>
      </c>
      <c r="AW69" s="13">
        <v>202.0</v>
      </c>
      <c r="AX69" s="13">
        <v>202.0</v>
      </c>
    </row>
    <row r="70">
      <c r="A70" s="10" t="s">
        <v>28</v>
      </c>
      <c r="B70" s="10" t="s">
        <v>856</v>
      </c>
      <c r="C70" s="29">
        <v>43376.0</v>
      </c>
      <c r="D70" s="13">
        <v>0.0</v>
      </c>
      <c r="E70" s="13">
        <v>1.0</v>
      </c>
      <c r="F70" s="13">
        <v>1.0</v>
      </c>
      <c r="G70" s="13">
        <v>1.0</v>
      </c>
      <c r="H70" s="13">
        <v>0.0</v>
      </c>
      <c r="I70" s="13">
        <v>0.0</v>
      </c>
      <c r="J70" s="13">
        <v>0.0</v>
      </c>
      <c r="K70" s="13">
        <v>1.0</v>
      </c>
      <c r="L70" s="13">
        <v>1.0</v>
      </c>
      <c r="M70" s="13">
        <v>1.0</v>
      </c>
      <c r="N70" s="13">
        <v>6.0</v>
      </c>
      <c r="O70" s="13">
        <v>3.0</v>
      </c>
      <c r="P70" s="13">
        <v>3.0</v>
      </c>
      <c r="Q70" s="10"/>
      <c r="R70" s="27" t="s">
        <v>36</v>
      </c>
      <c r="S70" s="27" t="s">
        <v>564</v>
      </c>
      <c r="T70" s="30">
        <v>45338.0</v>
      </c>
      <c r="U70" s="31">
        <v>0.0</v>
      </c>
      <c r="V70" s="31">
        <v>1.0</v>
      </c>
      <c r="W70" s="31">
        <v>1.0</v>
      </c>
      <c r="X70" s="31">
        <v>0.0</v>
      </c>
      <c r="Y70" s="31">
        <v>0.0</v>
      </c>
      <c r="Z70" s="31">
        <v>0.0</v>
      </c>
      <c r="AA70" s="31">
        <v>1.0</v>
      </c>
      <c r="AB70" s="31">
        <v>1.0</v>
      </c>
      <c r="AC70" s="31">
        <v>0.0</v>
      </c>
      <c r="AD70" s="31">
        <v>1.0</v>
      </c>
      <c r="AE70" s="31">
        <v>5.0</v>
      </c>
      <c r="AF70" s="31">
        <v>14.0</v>
      </c>
      <c r="AG70" s="31">
        <v>14.0</v>
      </c>
      <c r="AH70" s="13"/>
      <c r="AI70" s="10" t="s">
        <v>44</v>
      </c>
      <c r="AJ70" s="10" t="s">
        <v>501</v>
      </c>
      <c r="AK70" s="29">
        <v>44776.0</v>
      </c>
      <c r="AL70" s="13">
        <v>0.0</v>
      </c>
      <c r="AM70" s="13">
        <v>1.0</v>
      </c>
      <c r="AN70" s="13">
        <v>1.0</v>
      </c>
      <c r="AO70" s="13">
        <v>0.0</v>
      </c>
      <c r="AP70" s="13">
        <v>0.0</v>
      </c>
      <c r="AQ70" s="13">
        <v>0.0</v>
      </c>
      <c r="AR70" s="13">
        <v>1.0</v>
      </c>
      <c r="AS70" s="13">
        <v>1.0</v>
      </c>
      <c r="AT70" s="13">
        <v>0.0</v>
      </c>
      <c r="AU70" s="13">
        <v>1.0</v>
      </c>
      <c r="AV70" s="13">
        <v>5.0</v>
      </c>
      <c r="AW70" s="13">
        <v>207.0</v>
      </c>
      <c r="AX70" s="13">
        <v>207.0</v>
      </c>
    </row>
    <row r="71">
      <c r="A71" s="10" t="s">
        <v>28</v>
      </c>
      <c r="B71" s="10" t="s">
        <v>857</v>
      </c>
      <c r="C71" s="29">
        <v>43718.0</v>
      </c>
      <c r="D71" s="13">
        <v>0.0</v>
      </c>
      <c r="E71" s="13">
        <v>0.0</v>
      </c>
      <c r="F71" s="13">
        <v>1.0</v>
      </c>
      <c r="G71" s="13">
        <v>0.0</v>
      </c>
      <c r="H71" s="13">
        <v>0.0</v>
      </c>
      <c r="I71" s="13">
        <v>1.0</v>
      </c>
      <c r="J71" s="13">
        <v>0.0</v>
      </c>
      <c r="K71" s="13">
        <v>1.0</v>
      </c>
      <c r="L71" s="13">
        <v>1.0</v>
      </c>
      <c r="M71" s="13">
        <v>1.0</v>
      </c>
      <c r="N71" s="13">
        <v>5.0</v>
      </c>
      <c r="O71" s="13">
        <v>5.0</v>
      </c>
      <c r="P71" s="13">
        <v>5.0</v>
      </c>
      <c r="Q71" s="10"/>
      <c r="R71" s="27" t="s">
        <v>36</v>
      </c>
      <c r="S71" s="27" t="s">
        <v>565</v>
      </c>
      <c r="T71" s="30">
        <v>45383.0</v>
      </c>
      <c r="U71" s="31">
        <v>0.0</v>
      </c>
      <c r="V71" s="31">
        <v>1.0</v>
      </c>
      <c r="W71" s="31">
        <v>1.0</v>
      </c>
      <c r="X71" s="31">
        <v>0.0</v>
      </c>
      <c r="Y71" s="31">
        <v>0.0</v>
      </c>
      <c r="Z71" s="31">
        <v>0.0</v>
      </c>
      <c r="AA71" s="31">
        <v>1.0</v>
      </c>
      <c r="AB71" s="31">
        <v>1.0</v>
      </c>
      <c r="AC71" s="31">
        <v>0.0</v>
      </c>
      <c r="AD71" s="31">
        <v>1.0</v>
      </c>
      <c r="AE71" s="31">
        <v>5.0</v>
      </c>
      <c r="AF71" s="31">
        <v>15.0</v>
      </c>
      <c r="AG71" s="31">
        <v>15.0</v>
      </c>
      <c r="AH71" s="13"/>
      <c r="AI71" s="10" t="s">
        <v>44</v>
      </c>
      <c r="AJ71" s="10" t="s">
        <v>858</v>
      </c>
      <c r="AK71" s="29">
        <v>44797.0</v>
      </c>
      <c r="AL71" s="13">
        <v>0.0</v>
      </c>
      <c r="AM71" s="13">
        <v>0.0</v>
      </c>
      <c r="AN71" s="13">
        <v>1.0</v>
      </c>
      <c r="AO71" s="13">
        <v>0.0</v>
      </c>
      <c r="AP71" s="13">
        <v>1.0</v>
      </c>
      <c r="AQ71" s="13">
        <v>0.0</v>
      </c>
      <c r="AR71" s="13">
        <v>0.0</v>
      </c>
      <c r="AS71" s="13">
        <v>1.0</v>
      </c>
      <c r="AT71" s="13">
        <v>0.0</v>
      </c>
      <c r="AU71" s="13">
        <v>1.0</v>
      </c>
      <c r="AV71" s="13">
        <v>4.0</v>
      </c>
      <c r="AW71" s="13">
        <v>207.0</v>
      </c>
      <c r="AX71" s="13">
        <v>207.0</v>
      </c>
    </row>
    <row r="72">
      <c r="A72" s="10" t="s">
        <v>28</v>
      </c>
      <c r="B72" s="10" t="s">
        <v>859</v>
      </c>
      <c r="C72" s="29">
        <v>43944.0</v>
      </c>
      <c r="D72" s="13">
        <v>0.0</v>
      </c>
      <c r="E72" s="13">
        <v>1.0</v>
      </c>
      <c r="F72" s="13">
        <v>1.0</v>
      </c>
      <c r="G72" s="13">
        <v>0.0</v>
      </c>
      <c r="H72" s="13">
        <v>0.0</v>
      </c>
      <c r="I72" s="13">
        <v>0.0</v>
      </c>
      <c r="J72" s="13">
        <v>1.0</v>
      </c>
      <c r="K72" s="13">
        <v>1.0</v>
      </c>
      <c r="L72" s="13">
        <v>0.0</v>
      </c>
      <c r="M72" s="13">
        <v>1.0</v>
      </c>
      <c r="N72" s="13">
        <v>5.0</v>
      </c>
      <c r="O72" s="13">
        <v>5.0</v>
      </c>
      <c r="P72" s="13">
        <v>5.0</v>
      </c>
      <c r="Q72" s="10"/>
      <c r="R72" s="27" t="s">
        <v>36</v>
      </c>
      <c r="S72" s="27" t="s">
        <v>566</v>
      </c>
      <c r="T72" s="30">
        <v>45504.0</v>
      </c>
      <c r="U72" s="31">
        <v>0.0</v>
      </c>
      <c r="V72" s="31">
        <v>1.0</v>
      </c>
      <c r="W72" s="31">
        <v>1.0</v>
      </c>
      <c r="X72" s="31">
        <v>1.0</v>
      </c>
      <c r="Y72" s="31">
        <v>0.0</v>
      </c>
      <c r="Z72" s="31">
        <v>0.0</v>
      </c>
      <c r="AA72" s="31">
        <v>1.0</v>
      </c>
      <c r="AB72" s="31">
        <v>1.0</v>
      </c>
      <c r="AC72" s="31">
        <v>0.0</v>
      </c>
      <c r="AD72" s="31">
        <v>1.0</v>
      </c>
      <c r="AE72" s="31">
        <v>6.0</v>
      </c>
      <c r="AF72" s="31">
        <v>15.0</v>
      </c>
      <c r="AG72" s="31">
        <v>15.0</v>
      </c>
      <c r="AH72" s="13"/>
      <c r="AI72" s="10" t="s">
        <v>44</v>
      </c>
      <c r="AJ72" s="10" t="s">
        <v>860</v>
      </c>
      <c r="AK72" s="29">
        <v>44845.0</v>
      </c>
      <c r="AL72" s="13">
        <v>0.0</v>
      </c>
      <c r="AM72" s="13">
        <v>1.0</v>
      </c>
      <c r="AN72" s="13">
        <v>1.0</v>
      </c>
      <c r="AO72" s="13">
        <v>0.0</v>
      </c>
      <c r="AP72" s="13">
        <v>0.0</v>
      </c>
      <c r="AQ72" s="13">
        <v>0.0</v>
      </c>
      <c r="AR72" s="13">
        <v>1.0</v>
      </c>
      <c r="AS72" s="13">
        <v>1.0</v>
      </c>
      <c r="AT72" s="13">
        <v>0.0</v>
      </c>
      <c r="AU72" s="13">
        <v>1.0</v>
      </c>
      <c r="AV72" s="13">
        <v>5.0</v>
      </c>
      <c r="AW72" s="13">
        <v>222.0</v>
      </c>
      <c r="AX72" s="13">
        <v>222.0</v>
      </c>
    </row>
    <row r="73">
      <c r="A73" s="10" t="s">
        <v>28</v>
      </c>
      <c r="B73" s="10" t="s">
        <v>861</v>
      </c>
      <c r="C73" s="29">
        <v>43956.0</v>
      </c>
      <c r="D73" s="13">
        <v>1.0</v>
      </c>
      <c r="E73" s="13">
        <v>0.0</v>
      </c>
      <c r="F73" s="13">
        <v>1.0</v>
      </c>
      <c r="G73" s="13">
        <v>1.0</v>
      </c>
      <c r="H73" s="13">
        <v>0.0</v>
      </c>
      <c r="I73" s="13">
        <v>1.0</v>
      </c>
      <c r="J73" s="13">
        <v>1.0</v>
      </c>
      <c r="K73" s="13">
        <v>1.0</v>
      </c>
      <c r="L73" s="13">
        <v>0.0</v>
      </c>
      <c r="M73" s="13">
        <v>1.0</v>
      </c>
      <c r="N73" s="13">
        <v>7.0</v>
      </c>
      <c r="O73" s="13">
        <v>5.0</v>
      </c>
      <c r="P73" s="13">
        <v>5.0</v>
      </c>
      <c r="Q73" s="10"/>
      <c r="R73" s="27" t="s">
        <v>36</v>
      </c>
      <c r="S73" s="27" t="s">
        <v>567</v>
      </c>
      <c r="T73" s="30">
        <v>45571.0</v>
      </c>
      <c r="U73" s="31">
        <v>0.0</v>
      </c>
      <c r="V73" s="31">
        <v>1.0</v>
      </c>
      <c r="W73" s="31">
        <v>1.0</v>
      </c>
      <c r="X73" s="31">
        <v>0.0</v>
      </c>
      <c r="Y73" s="31">
        <v>0.0</v>
      </c>
      <c r="Z73" s="31">
        <v>0.0</v>
      </c>
      <c r="AA73" s="31">
        <v>0.0</v>
      </c>
      <c r="AB73" s="31">
        <v>1.0</v>
      </c>
      <c r="AC73" s="31">
        <v>0.0</v>
      </c>
      <c r="AD73" s="31">
        <v>1.0</v>
      </c>
      <c r="AE73" s="31">
        <v>4.0</v>
      </c>
      <c r="AF73" s="31">
        <v>15.0</v>
      </c>
      <c r="AG73" s="31">
        <v>15.0</v>
      </c>
      <c r="AH73" s="13"/>
      <c r="AI73" s="10" t="s">
        <v>44</v>
      </c>
      <c r="AJ73" s="10" t="s">
        <v>862</v>
      </c>
      <c r="AK73" s="29">
        <v>44853.0</v>
      </c>
      <c r="AL73" s="13">
        <v>0.0</v>
      </c>
      <c r="AM73" s="13">
        <v>1.0</v>
      </c>
      <c r="AN73" s="13">
        <v>1.0</v>
      </c>
      <c r="AO73" s="13">
        <v>0.0</v>
      </c>
      <c r="AP73" s="13">
        <v>0.0</v>
      </c>
      <c r="AQ73" s="13">
        <v>0.0</v>
      </c>
      <c r="AR73" s="13">
        <v>1.0</v>
      </c>
      <c r="AS73" s="13">
        <v>1.0</v>
      </c>
      <c r="AT73" s="13">
        <v>0.0</v>
      </c>
      <c r="AU73" s="13">
        <v>1.0</v>
      </c>
      <c r="AV73" s="13">
        <v>5.0</v>
      </c>
      <c r="AW73" s="13">
        <v>222.0</v>
      </c>
      <c r="AX73" s="13">
        <v>222.0</v>
      </c>
    </row>
    <row r="74">
      <c r="A74" s="10" t="s">
        <v>28</v>
      </c>
      <c r="B74" s="10" t="s">
        <v>863</v>
      </c>
      <c r="C74" s="29">
        <v>44505.0</v>
      </c>
      <c r="D74" s="13">
        <v>0.0</v>
      </c>
      <c r="E74" s="13">
        <v>1.0</v>
      </c>
      <c r="F74" s="13">
        <v>1.0</v>
      </c>
      <c r="G74" s="13">
        <v>0.0</v>
      </c>
      <c r="H74" s="13">
        <v>0.0</v>
      </c>
      <c r="I74" s="13">
        <v>0.0</v>
      </c>
      <c r="J74" s="13">
        <v>1.0</v>
      </c>
      <c r="K74" s="13">
        <v>1.0</v>
      </c>
      <c r="L74" s="13">
        <v>0.0</v>
      </c>
      <c r="M74" s="13">
        <v>1.0</v>
      </c>
      <c r="N74" s="13">
        <v>5.0</v>
      </c>
      <c r="O74" s="13">
        <v>5.0</v>
      </c>
      <c r="P74" s="13">
        <v>5.0</v>
      </c>
      <c r="Q74" s="10"/>
      <c r="R74" s="27" t="s">
        <v>36</v>
      </c>
      <c r="S74" s="27" t="s">
        <v>568</v>
      </c>
      <c r="T74" s="30">
        <v>45575.0</v>
      </c>
      <c r="U74" s="31">
        <v>0.0</v>
      </c>
      <c r="V74" s="31">
        <v>1.0</v>
      </c>
      <c r="W74" s="31">
        <v>1.0</v>
      </c>
      <c r="X74" s="31">
        <v>0.0</v>
      </c>
      <c r="Y74" s="31">
        <v>0.0</v>
      </c>
      <c r="Z74" s="31">
        <v>0.0</v>
      </c>
      <c r="AA74" s="31">
        <v>1.0</v>
      </c>
      <c r="AB74" s="31">
        <v>1.0</v>
      </c>
      <c r="AC74" s="31">
        <v>0.0</v>
      </c>
      <c r="AD74" s="31">
        <v>1.0</v>
      </c>
      <c r="AE74" s="31">
        <v>5.0</v>
      </c>
      <c r="AF74" s="31">
        <v>15.0</v>
      </c>
      <c r="AG74" s="31">
        <v>15.0</v>
      </c>
      <c r="AH74" s="13"/>
      <c r="AI74" s="10" t="s">
        <v>44</v>
      </c>
      <c r="AJ74" s="10" t="s">
        <v>864</v>
      </c>
      <c r="AK74" s="29">
        <v>44876.0</v>
      </c>
      <c r="AL74" s="13">
        <v>0.0</v>
      </c>
      <c r="AM74" s="13">
        <v>1.0</v>
      </c>
      <c r="AN74" s="13">
        <v>1.0</v>
      </c>
      <c r="AO74" s="13">
        <v>0.0</v>
      </c>
      <c r="AP74" s="13">
        <v>0.0</v>
      </c>
      <c r="AQ74" s="13">
        <v>0.0</v>
      </c>
      <c r="AR74" s="13">
        <v>1.0</v>
      </c>
      <c r="AS74" s="13">
        <v>1.0</v>
      </c>
      <c r="AT74" s="13">
        <v>0.0</v>
      </c>
      <c r="AU74" s="13">
        <v>1.0</v>
      </c>
      <c r="AV74" s="13">
        <v>5.0</v>
      </c>
      <c r="AW74" s="13">
        <v>220.0</v>
      </c>
      <c r="AX74" s="13">
        <v>220.0</v>
      </c>
    </row>
    <row r="75">
      <c r="A75" s="10" t="s">
        <v>28</v>
      </c>
      <c r="B75" s="10" t="s">
        <v>865</v>
      </c>
      <c r="C75" s="29">
        <v>44557.0</v>
      </c>
      <c r="D75" s="13">
        <v>0.0</v>
      </c>
      <c r="E75" s="13">
        <v>1.0</v>
      </c>
      <c r="F75" s="13">
        <v>1.0</v>
      </c>
      <c r="G75" s="13">
        <v>0.0</v>
      </c>
      <c r="H75" s="13">
        <v>0.0</v>
      </c>
      <c r="I75" s="13">
        <v>0.0</v>
      </c>
      <c r="J75" s="13">
        <v>0.0</v>
      </c>
      <c r="K75" s="13">
        <v>1.0</v>
      </c>
      <c r="L75" s="13">
        <v>0.0</v>
      </c>
      <c r="M75" s="13">
        <v>1.0</v>
      </c>
      <c r="N75" s="13">
        <v>4.0</v>
      </c>
      <c r="O75" s="13">
        <v>6.0</v>
      </c>
      <c r="P75" s="13">
        <v>6.0</v>
      </c>
      <c r="Q75" s="10"/>
      <c r="R75" s="27" t="s">
        <v>36</v>
      </c>
      <c r="S75" s="27" t="s">
        <v>569</v>
      </c>
      <c r="T75" s="30">
        <v>45627.0</v>
      </c>
      <c r="U75" s="31">
        <v>0.0</v>
      </c>
      <c r="V75" s="31">
        <v>1.0</v>
      </c>
      <c r="W75" s="31">
        <v>1.0</v>
      </c>
      <c r="X75" s="31">
        <v>0.0</v>
      </c>
      <c r="Y75" s="31">
        <v>0.0</v>
      </c>
      <c r="Z75" s="31">
        <v>0.0</v>
      </c>
      <c r="AA75" s="31">
        <v>1.0</v>
      </c>
      <c r="AB75" s="31">
        <v>1.0</v>
      </c>
      <c r="AC75" s="31">
        <v>0.0</v>
      </c>
      <c r="AD75" s="31">
        <v>1.0</v>
      </c>
      <c r="AE75" s="31">
        <v>5.0</v>
      </c>
      <c r="AF75" s="31">
        <v>14.0</v>
      </c>
      <c r="AG75" s="31">
        <v>14.0</v>
      </c>
      <c r="AH75" s="13"/>
      <c r="AI75" s="10" t="s">
        <v>44</v>
      </c>
      <c r="AJ75" s="10" t="s">
        <v>866</v>
      </c>
      <c r="AK75" s="29">
        <v>44897.0</v>
      </c>
      <c r="AL75" s="13">
        <v>0.0</v>
      </c>
      <c r="AM75" s="13">
        <v>1.0</v>
      </c>
      <c r="AN75" s="13">
        <v>1.0</v>
      </c>
      <c r="AO75" s="13">
        <v>0.0</v>
      </c>
      <c r="AP75" s="13">
        <v>0.0</v>
      </c>
      <c r="AQ75" s="13">
        <v>0.0</v>
      </c>
      <c r="AR75" s="13">
        <v>1.0</v>
      </c>
      <c r="AS75" s="13">
        <v>1.0</v>
      </c>
      <c r="AT75" s="13">
        <v>0.0</v>
      </c>
      <c r="AU75" s="13">
        <v>1.0</v>
      </c>
      <c r="AV75" s="13">
        <v>5.0</v>
      </c>
      <c r="AW75" s="13">
        <v>222.0</v>
      </c>
      <c r="AX75" s="13">
        <v>222.0</v>
      </c>
    </row>
    <row r="76">
      <c r="A76" s="10" t="s">
        <v>28</v>
      </c>
      <c r="B76" s="10" t="s">
        <v>867</v>
      </c>
      <c r="C76" s="29">
        <v>44561.0</v>
      </c>
      <c r="D76" s="13">
        <v>1.0</v>
      </c>
      <c r="E76" s="13">
        <v>1.0</v>
      </c>
      <c r="F76" s="13">
        <v>1.0</v>
      </c>
      <c r="G76" s="13">
        <v>1.0</v>
      </c>
      <c r="H76" s="13">
        <v>0.0</v>
      </c>
      <c r="I76" s="13">
        <v>0.0</v>
      </c>
      <c r="J76" s="13">
        <v>1.0</v>
      </c>
      <c r="K76" s="13">
        <v>1.0</v>
      </c>
      <c r="L76" s="13">
        <v>0.0</v>
      </c>
      <c r="M76" s="13">
        <v>1.0</v>
      </c>
      <c r="N76" s="13">
        <v>7.0</v>
      </c>
      <c r="O76" s="13">
        <v>6.0</v>
      </c>
      <c r="P76" s="13">
        <v>6.0</v>
      </c>
      <c r="Q76" s="10"/>
      <c r="R76" s="27" t="s">
        <v>35</v>
      </c>
      <c r="S76" s="31">
        <v>0.1</v>
      </c>
      <c r="T76" s="30">
        <v>42287.0</v>
      </c>
      <c r="U76" s="31">
        <v>0.0</v>
      </c>
      <c r="V76" s="31">
        <v>1.0</v>
      </c>
      <c r="W76" s="31">
        <v>1.0</v>
      </c>
      <c r="X76" s="31">
        <v>0.0</v>
      </c>
      <c r="Y76" s="31">
        <v>0.0</v>
      </c>
      <c r="Z76" s="31">
        <v>0.0</v>
      </c>
      <c r="AA76" s="31">
        <v>1.0</v>
      </c>
      <c r="AB76" s="31">
        <v>1.0</v>
      </c>
      <c r="AC76" s="31">
        <v>0.0</v>
      </c>
      <c r="AD76" s="31">
        <v>1.0</v>
      </c>
      <c r="AE76" s="31">
        <v>5.0</v>
      </c>
      <c r="AF76" s="31">
        <v>0.0</v>
      </c>
      <c r="AG76" s="31">
        <v>0.0</v>
      </c>
      <c r="AH76" s="13"/>
      <c r="AI76" s="10" t="s">
        <v>44</v>
      </c>
      <c r="AJ76" s="10" t="s">
        <v>868</v>
      </c>
      <c r="AK76" s="29">
        <v>44917.0</v>
      </c>
      <c r="AL76" s="13">
        <v>1.0</v>
      </c>
      <c r="AM76" s="13">
        <v>1.0</v>
      </c>
      <c r="AN76" s="13">
        <v>1.0</v>
      </c>
      <c r="AO76" s="13">
        <v>0.0</v>
      </c>
      <c r="AP76" s="13">
        <v>0.0</v>
      </c>
      <c r="AQ76" s="13">
        <v>0.0</v>
      </c>
      <c r="AR76" s="13">
        <v>1.0</v>
      </c>
      <c r="AS76" s="13">
        <v>0.0</v>
      </c>
      <c r="AT76" s="13">
        <v>0.0</v>
      </c>
      <c r="AU76" s="13">
        <v>1.0</v>
      </c>
      <c r="AV76" s="13">
        <v>5.0</v>
      </c>
      <c r="AW76" s="13">
        <v>225.0</v>
      </c>
      <c r="AX76" s="13">
        <v>225.0</v>
      </c>
    </row>
    <row r="77">
      <c r="A77" s="10" t="s">
        <v>28</v>
      </c>
      <c r="B77" s="10" t="s">
        <v>869</v>
      </c>
      <c r="C77" s="29">
        <v>44672.0</v>
      </c>
      <c r="D77" s="13">
        <v>1.0</v>
      </c>
      <c r="E77" s="13">
        <v>1.0</v>
      </c>
      <c r="F77" s="13">
        <v>1.0</v>
      </c>
      <c r="G77" s="13">
        <v>0.0</v>
      </c>
      <c r="H77" s="13">
        <v>0.0</v>
      </c>
      <c r="I77" s="13">
        <v>1.0</v>
      </c>
      <c r="J77" s="13">
        <v>1.0</v>
      </c>
      <c r="K77" s="13">
        <v>1.0</v>
      </c>
      <c r="L77" s="13">
        <v>0.0</v>
      </c>
      <c r="M77" s="13">
        <v>1.0</v>
      </c>
      <c r="N77" s="13">
        <v>7.0</v>
      </c>
      <c r="O77" s="13">
        <v>6.0</v>
      </c>
      <c r="P77" s="13">
        <v>6.0</v>
      </c>
      <c r="Q77" s="10"/>
      <c r="R77" s="27" t="s">
        <v>35</v>
      </c>
      <c r="S77" s="31">
        <v>0.3</v>
      </c>
      <c r="T77" s="30">
        <v>42307.0</v>
      </c>
      <c r="U77" s="31">
        <v>0.0</v>
      </c>
      <c r="V77" s="31">
        <v>1.0</v>
      </c>
      <c r="W77" s="31">
        <v>1.0</v>
      </c>
      <c r="X77" s="31">
        <v>0.0</v>
      </c>
      <c r="Y77" s="31">
        <v>0.0</v>
      </c>
      <c r="Z77" s="31">
        <v>0.0</v>
      </c>
      <c r="AA77" s="31">
        <v>0.0</v>
      </c>
      <c r="AB77" s="31">
        <v>1.0</v>
      </c>
      <c r="AC77" s="31">
        <v>0.0</v>
      </c>
      <c r="AD77" s="31">
        <v>1.0</v>
      </c>
      <c r="AE77" s="31">
        <v>4.0</v>
      </c>
      <c r="AF77" s="31">
        <v>0.0</v>
      </c>
      <c r="AG77" s="31">
        <v>0.0</v>
      </c>
      <c r="AH77" s="13"/>
      <c r="AI77" s="10" t="s">
        <v>44</v>
      </c>
      <c r="AJ77" s="10" t="s">
        <v>870</v>
      </c>
      <c r="AK77" s="29">
        <v>44980.0</v>
      </c>
      <c r="AL77" s="13">
        <v>0.0</v>
      </c>
      <c r="AM77" s="13">
        <v>0.0</v>
      </c>
      <c r="AN77" s="13">
        <v>1.0</v>
      </c>
      <c r="AO77" s="13">
        <v>1.0</v>
      </c>
      <c r="AP77" s="13">
        <v>0.0</v>
      </c>
      <c r="AQ77" s="13">
        <v>0.0</v>
      </c>
      <c r="AR77" s="13">
        <v>1.0</v>
      </c>
      <c r="AS77" s="13">
        <v>0.0</v>
      </c>
      <c r="AT77" s="13">
        <v>0.0</v>
      </c>
      <c r="AU77" s="13">
        <v>1.0</v>
      </c>
      <c r="AV77" s="13">
        <v>4.0</v>
      </c>
      <c r="AW77" s="13">
        <v>226.0</v>
      </c>
      <c r="AX77" s="13">
        <v>226.0</v>
      </c>
    </row>
    <row r="78">
      <c r="A78" s="10" t="s">
        <v>28</v>
      </c>
      <c r="B78" s="10" t="s">
        <v>871</v>
      </c>
      <c r="C78" s="29">
        <v>45023.0</v>
      </c>
      <c r="D78" s="13">
        <v>1.0</v>
      </c>
      <c r="E78" s="13">
        <v>1.0</v>
      </c>
      <c r="F78" s="13">
        <v>1.0</v>
      </c>
      <c r="G78" s="13">
        <v>1.0</v>
      </c>
      <c r="H78" s="13">
        <v>0.0</v>
      </c>
      <c r="I78" s="13">
        <v>1.0</v>
      </c>
      <c r="J78" s="13">
        <v>1.0</v>
      </c>
      <c r="K78" s="13">
        <v>1.0</v>
      </c>
      <c r="L78" s="13">
        <v>0.0</v>
      </c>
      <c r="M78" s="13">
        <v>1.0</v>
      </c>
      <c r="N78" s="13">
        <v>8.0</v>
      </c>
      <c r="O78" s="13">
        <v>7.0</v>
      </c>
      <c r="P78" s="13">
        <v>7.0</v>
      </c>
      <c r="Q78" s="10"/>
      <c r="R78" s="27" t="s">
        <v>35</v>
      </c>
      <c r="S78" s="31">
        <v>0.4</v>
      </c>
      <c r="T78" s="30">
        <v>42316.0</v>
      </c>
      <c r="U78" s="31">
        <v>0.0</v>
      </c>
      <c r="V78" s="31">
        <v>1.0</v>
      </c>
      <c r="W78" s="31">
        <v>1.0</v>
      </c>
      <c r="X78" s="31">
        <v>0.0</v>
      </c>
      <c r="Y78" s="31">
        <v>0.0</v>
      </c>
      <c r="Z78" s="31">
        <v>0.0</v>
      </c>
      <c r="AA78" s="31">
        <v>0.0</v>
      </c>
      <c r="AB78" s="31">
        <v>1.0</v>
      </c>
      <c r="AC78" s="31">
        <v>0.0</v>
      </c>
      <c r="AD78" s="31">
        <v>1.0</v>
      </c>
      <c r="AE78" s="31">
        <v>4.0</v>
      </c>
      <c r="AF78" s="31">
        <v>0.0</v>
      </c>
      <c r="AG78" s="31">
        <v>0.0</v>
      </c>
      <c r="AH78" s="13"/>
      <c r="AI78" s="10" t="s">
        <v>44</v>
      </c>
      <c r="AJ78" s="10" t="s">
        <v>872</v>
      </c>
      <c r="AK78" s="29">
        <v>45056.0</v>
      </c>
      <c r="AL78" s="13">
        <v>0.0</v>
      </c>
      <c r="AM78" s="13">
        <v>1.0</v>
      </c>
      <c r="AN78" s="13">
        <v>1.0</v>
      </c>
      <c r="AO78" s="13">
        <v>0.0</v>
      </c>
      <c r="AP78" s="13">
        <v>0.0</v>
      </c>
      <c r="AQ78" s="13">
        <v>0.0</v>
      </c>
      <c r="AR78" s="13">
        <v>1.0</v>
      </c>
      <c r="AS78" s="13">
        <v>1.0</v>
      </c>
      <c r="AT78" s="13">
        <v>0.0</v>
      </c>
      <c r="AU78" s="13">
        <v>1.0</v>
      </c>
      <c r="AV78" s="13">
        <v>5.0</v>
      </c>
      <c r="AW78" s="13">
        <v>229.0</v>
      </c>
      <c r="AX78" s="13">
        <v>229.0</v>
      </c>
    </row>
    <row r="79">
      <c r="A79" s="10" t="s">
        <v>28</v>
      </c>
      <c r="B79" s="10" t="s">
        <v>873</v>
      </c>
      <c r="C79" s="29">
        <v>45147.0</v>
      </c>
      <c r="D79" s="13">
        <v>0.0</v>
      </c>
      <c r="E79" s="13">
        <v>1.0</v>
      </c>
      <c r="F79" s="13">
        <v>1.0</v>
      </c>
      <c r="G79" s="13">
        <v>1.0</v>
      </c>
      <c r="H79" s="13">
        <v>0.0</v>
      </c>
      <c r="I79" s="13">
        <v>0.0</v>
      </c>
      <c r="J79" s="13">
        <v>1.0</v>
      </c>
      <c r="K79" s="13">
        <v>1.0</v>
      </c>
      <c r="L79" s="13">
        <v>0.0</v>
      </c>
      <c r="M79" s="13">
        <v>1.0</v>
      </c>
      <c r="N79" s="13">
        <v>6.0</v>
      </c>
      <c r="O79" s="13">
        <v>7.0</v>
      </c>
      <c r="P79" s="13">
        <v>7.0</v>
      </c>
      <c r="Q79" s="10"/>
      <c r="R79" s="27" t="s">
        <v>35</v>
      </c>
      <c r="S79" s="27" t="s">
        <v>874</v>
      </c>
      <c r="T79" s="30">
        <v>42317.0</v>
      </c>
      <c r="U79" s="31">
        <v>0.0</v>
      </c>
      <c r="V79" s="31">
        <v>1.0</v>
      </c>
      <c r="W79" s="31">
        <v>1.0</v>
      </c>
      <c r="X79" s="31">
        <v>0.0</v>
      </c>
      <c r="Y79" s="31">
        <v>0.0</v>
      </c>
      <c r="Z79" s="31">
        <v>0.0</v>
      </c>
      <c r="AA79" s="31">
        <v>1.0</v>
      </c>
      <c r="AB79" s="31">
        <v>1.0</v>
      </c>
      <c r="AC79" s="31">
        <v>0.0</v>
      </c>
      <c r="AD79" s="31">
        <v>1.0</v>
      </c>
      <c r="AE79" s="31">
        <v>5.0</v>
      </c>
      <c r="AF79" s="31">
        <v>0.0</v>
      </c>
      <c r="AG79" s="31">
        <v>0.0</v>
      </c>
      <c r="AH79" s="13"/>
      <c r="AI79" s="10" t="s">
        <v>44</v>
      </c>
      <c r="AJ79" s="10" t="s">
        <v>875</v>
      </c>
      <c r="AK79" s="29">
        <v>45083.0</v>
      </c>
      <c r="AL79" s="13">
        <v>1.0</v>
      </c>
      <c r="AM79" s="13">
        <v>0.0</v>
      </c>
      <c r="AN79" s="13">
        <v>1.0</v>
      </c>
      <c r="AO79" s="13">
        <v>0.0</v>
      </c>
      <c r="AP79" s="13">
        <v>1.0</v>
      </c>
      <c r="AQ79" s="13">
        <v>0.0</v>
      </c>
      <c r="AR79" s="13">
        <v>1.0</v>
      </c>
      <c r="AS79" s="13">
        <v>0.0</v>
      </c>
      <c r="AT79" s="13">
        <v>0.0</v>
      </c>
      <c r="AU79" s="13">
        <v>1.0</v>
      </c>
      <c r="AV79" s="13">
        <v>5.0</v>
      </c>
      <c r="AW79" s="13">
        <v>229.0</v>
      </c>
      <c r="AX79" s="13">
        <v>229.0</v>
      </c>
    </row>
    <row r="80">
      <c r="A80" s="10" t="s">
        <v>28</v>
      </c>
      <c r="B80" s="10" t="s">
        <v>876</v>
      </c>
      <c r="C80" s="29">
        <v>45282.0</v>
      </c>
      <c r="D80" s="13">
        <v>0.0</v>
      </c>
      <c r="E80" s="13">
        <v>1.0</v>
      </c>
      <c r="F80" s="13">
        <v>1.0</v>
      </c>
      <c r="G80" s="13">
        <v>0.0</v>
      </c>
      <c r="H80" s="13">
        <v>0.0</v>
      </c>
      <c r="I80" s="13">
        <v>0.0</v>
      </c>
      <c r="J80" s="13">
        <v>1.0</v>
      </c>
      <c r="K80" s="13">
        <v>1.0</v>
      </c>
      <c r="L80" s="13">
        <v>0.0</v>
      </c>
      <c r="M80" s="13">
        <v>1.0</v>
      </c>
      <c r="N80" s="13">
        <v>5.0</v>
      </c>
      <c r="O80" s="13">
        <v>8.0</v>
      </c>
      <c r="P80" s="13">
        <v>8.0</v>
      </c>
      <c r="Q80" s="10"/>
      <c r="R80" s="27" t="s">
        <v>35</v>
      </c>
      <c r="S80" s="31">
        <v>0.5</v>
      </c>
      <c r="T80" s="30">
        <v>42323.0</v>
      </c>
      <c r="U80" s="31">
        <v>0.0</v>
      </c>
      <c r="V80" s="31">
        <v>1.0</v>
      </c>
      <c r="W80" s="31">
        <v>1.0</v>
      </c>
      <c r="X80" s="31">
        <v>0.0</v>
      </c>
      <c r="Y80" s="31">
        <v>0.0</v>
      </c>
      <c r="Z80" s="31">
        <v>0.0</v>
      </c>
      <c r="AA80" s="31">
        <v>0.0</v>
      </c>
      <c r="AB80" s="31">
        <v>1.0</v>
      </c>
      <c r="AC80" s="31">
        <v>0.0</v>
      </c>
      <c r="AD80" s="31">
        <v>1.0</v>
      </c>
      <c r="AE80" s="31">
        <v>4.0</v>
      </c>
      <c r="AF80" s="31">
        <v>0.0</v>
      </c>
      <c r="AG80" s="31">
        <v>0.0</v>
      </c>
      <c r="AH80" s="13"/>
      <c r="AI80" s="10" t="s">
        <v>44</v>
      </c>
      <c r="AJ80" s="10" t="s">
        <v>877</v>
      </c>
      <c r="AK80" s="29">
        <v>45153.0</v>
      </c>
      <c r="AL80" s="13">
        <v>0.0</v>
      </c>
      <c r="AM80" s="13">
        <v>1.0</v>
      </c>
      <c r="AN80" s="13">
        <v>1.0</v>
      </c>
      <c r="AO80" s="13">
        <v>0.0</v>
      </c>
      <c r="AP80" s="13">
        <v>0.0</v>
      </c>
      <c r="AQ80" s="13">
        <v>0.0</v>
      </c>
      <c r="AR80" s="13">
        <v>1.0</v>
      </c>
      <c r="AS80" s="13">
        <v>1.0</v>
      </c>
      <c r="AT80" s="13">
        <v>0.0</v>
      </c>
      <c r="AU80" s="13">
        <v>1.0</v>
      </c>
      <c r="AV80" s="13">
        <v>5.0</v>
      </c>
      <c r="AW80" s="13">
        <v>227.0</v>
      </c>
      <c r="AX80" s="13">
        <v>227.0</v>
      </c>
    </row>
    <row r="81">
      <c r="A81" s="10" t="s">
        <v>28</v>
      </c>
      <c r="B81" s="10" t="s">
        <v>878</v>
      </c>
      <c r="C81" s="29">
        <v>45303.0</v>
      </c>
      <c r="D81" s="13">
        <v>1.0</v>
      </c>
      <c r="E81" s="13">
        <v>1.0</v>
      </c>
      <c r="F81" s="13">
        <v>1.0</v>
      </c>
      <c r="G81" s="13">
        <v>1.0</v>
      </c>
      <c r="H81" s="13">
        <v>0.0</v>
      </c>
      <c r="I81" s="13">
        <v>0.0</v>
      </c>
      <c r="J81" s="13">
        <v>1.0</v>
      </c>
      <c r="K81" s="13">
        <v>1.0</v>
      </c>
      <c r="L81" s="13">
        <v>0.0</v>
      </c>
      <c r="M81" s="13">
        <v>1.0</v>
      </c>
      <c r="N81" s="13">
        <v>7.0</v>
      </c>
      <c r="O81" s="13">
        <v>8.0</v>
      </c>
      <c r="P81" s="13">
        <v>8.0</v>
      </c>
      <c r="Q81" s="10"/>
      <c r="R81" s="27" t="s">
        <v>35</v>
      </c>
      <c r="S81" s="31">
        <v>0.6</v>
      </c>
      <c r="T81" s="30">
        <v>42340.0</v>
      </c>
      <c r="U81" s="31">
        <v>0.0</v>
      </c>
      <c r="V81" s="31">
        <v>1.0</v>
      </c>
      <c r="W81" s="31">
        <v>1.0</v>
      </c>
      <c r="X81" s="31">
        <v>0.0</v>
      </c>
      <c r="Y81" s="31">
        <v>0.0</v>
      </c>
      <c r="Z81" s="31">
        <v>0.0</v>
      </c>
      <c r="AA81" s="31">
        <v>1.0</v>
      </c>
      <c r="AB81" s="31">
        <v>1.0</v>
      </c>
      <c r="AC81" s="31">
        <v>0.0</v>
      </c>
      <c r="AD81" s="31">
        <v>1.0</v>
      </c>
      <c r="AE81" s="31">
        <v>5.0</v>
      </c>
      <c r="AF81" s="31">
        <v>0.0</v>
      </c>
      <c r="AG81" s="31">
        <v>0.0</v>
      </c>
      <c r="AH81" s="13"/>
      <c r="AI81" s="10" t="s">
        <v>44</v>
      </c>
      <c r="AJ81" s="10" t="s">
        <v>879</v>
      </c>
      <c r="AK81" s="29">
        <v>45175.0</v>
      </c>
      <c r="AL81" s="13">
        <v>0.0</v>
      </c>
      <c r="AM81" s="13">
        <v>0.0</v>
      </c>
      <c r="AN81" s="13">
        <v>1.0</v>
      </c>
      <c r="AO81" s="13">
        <v>0.0</v>
      </c>
      <c r="AP81" s="13">
        <v>1.0</v>
      </c>
      <c r="AQ81" s="13">
        <v>0.0</v>
      </c>
      <c r="AR81" s="13">
        <v>0.0</v>
      </c>
      <c r="AS81" s="13">
        <v>1.0</v>
      </c>
      <c r="AT81" s="13">
        <v>0.0</v>
      </c>
      <c r="AU81" s="13">
        <v>1.0</v>
      </c>
      <c r="AV81" s="13">
        <v>4.0</v>
      </c>
      <c r="AW81" s="13">
        <v>229.0</v>
      </c>
      <c r="AX81" s="13">
        <v>229.0</v>
      </c>
    </row>
    <row r="82">
      <c r="A82" s="10" t="s">
        <v>28</v>
      </c>
      <c r="B82" s="10" t="s">
        <v>880</v>
      </c>
      <c r="C82" s="29">
        <v>45469.0</v>
      </c>
      <c r="D82" s="13">
        <v>1.0</v>
      </c>
      <c r="E82" s="13">
        <v>1.0</v>
      </c>
      <c r="F82" s="13">
        <v>1.0</v>
      </c>
      <c r="G82" s="13">
        <v>1.0</v>
      </c>
      <c r="H82" s="13">
        <v>0.0</v>
      </c>
      <c r="I82" s="13">
        <v>0.0</v>
      </c>
      <c r="J82" s="13">
        <v>1.0</v>
      </c>
      <c r="K82" s="13">
        <v>1.0</v>
      </c>
      <c r="L82" s="13">
        <v>0.0</v>
      </c>
      <c r="M82" s="13">
        <v>1.0</v>
      </c>
      <c r="N82" s="13">
        <v>7.0</v>
      </c>
      <c r="O82" s="13">
        <v>8.0</v>
      </c>
      <c r="P82" s="13">
        <v>8.0</v>
      </c>
      <c r="Q82" s="10"/>
      <c r="R82" s="27" t="s">
        <v>35</v>
      </c>
      <c r="S82" s="27" t="s">
        <v>881</v>
      </c>
      <c r="T82" s="30">
        <v>42342.0</v>
      </c>
      <c r="U82" s="31">
        <v>0.0</v>
      </c>
      <c r="V82" s="31">
        <v>1.0</v>
      </c>
      <c r="W82" s="31">
        <v>1.0</v>
      </c>
      <c r="X82" s="31">
        <v>0.0</v>
      </c>
      <c r="Y82" s="31">
        <v>0.0</v>
      </c>
      <c r="Z82" s="31">
        <v>0.0</v>
      </c>
      <c r="AA82" s="31">
        <v>0.0</v>
      </c>
      <c r="AB82" s="31">
        <v>1.0</v>
      </c>
      <c r="AC82" s="31">
        <v>0.0</v>
      </c>
      <c r="AD82" s="31">
        <v>1.0</v>
      </c>
      <c r="AE82" s="31">
        <v>4.0</v>
      </c>
      <c r="AF82" s="31">
        <v>0.0</v>
      </c>
      <c r="AG82" s="31">
        <v>0.0</v>
      </c>
      <c r="AH82" s="13"/>
      <c r="AI82" s="10" t="s">
        <v>44</v>
      </c>
      <c r="AJ82" s="10" t="s">
        <v>882</v>
      </c>
      <c r="AK82" s="29">
        <v>45250.0</v>
      </c>
      <c r="AL82" s="13">
        <v>0.0</v>
      </c>
      <c r="AM82" s="13">
        <v>1.0</v>
      </c>
      <c r="AN82" s="13">
        <v>1.0</v>
      </c>
      <c r="AO82" s="13">
        <v>0.0</v>
      </c>
      <c r="AP82" s="13">
        <v>0.0</v>
      </c>
      <c r="AQ82" s="13">
        <v>0.0</v>
      </c>
      <c r="AR82" s="13">
        <v>1.0</v>
      </c>
      <c r="AS82" s="13">
        <v>1.0</v>
      </c>
      <c r="AT82" s="13">
        <v>0.0</v>
      </c>
      <c r="AU82" s="13">
        <v>1.0</v>
      </c>
      <c r="AV82" s="13">
        <v>5.0</v>
      </c>
      <c r="AW82" s="13">
        <v>243.0</v>
      </c>
      <c r="AX82" s="13">
        <v>243.0</v>
      </c>
    </row>
    <row r="83">
      <c r="A83" s="10" t="s">
        <v>27</v>
      </c>
      <c r="B83" s="10" t="s">
        <v>883</v>
      </c>
      <c r="C83" s="29">
        <v>44004.0</v>
      </c>
      <c r="D83" s="13">
        <v>0.0</v>
      </c>
      <c r="E83" s="13">
        <v>1.0</v>
      </c>
      <c r="F83" s="13">
        <v>1.0</v>
      </c>
      <c r="G83" s="13">
        <v>0.0</v>
      </c>
      <c r="H83" s="13">
        <v>0.0</v>
      </c>
      <c r="I83" s="13">
        <v>0.0</v>
      </c>
      <c r="J83" s="13">
        <v>1.0</v>
      </c>
      <c r="K83" s="13">
        <v>1.0</v>
      </c>
      <c r="L83" s="13">
        <v>0.0</v>
      </c>
      <c r="M83" s="13">
        <v>1.0</v>
      </c>
      <c r="N83" s="13">
        <v>5.0</v>
      </c>
      <c r="O83" s="13">
        <v>5.0</v>
      </c>
      <c r="P83" s="13">
        <v>5.0</v>
      </c>
      <c r="Q83" s="10"/>
      <c r="R83" s="27" t="s">
        <v>35</v>
      </c>
      <c r="S83" s="27" t="s">
        <v>884</v>
      </c>
      <c r="T83" s="30">
        <v>42342.0</v>
      </c>
      <c r="U83" s="31">
        <v>0.0</v>
      </c>
      <c r="V83" s="31">
        <v>1.0</v>
      </c>
      <c r="W83" s="31">
        <v>1.0</v>
      </c>
      <c r="X83" s="31">
        <v>0.0</v>
      </c>
      <c r="Y83" s="31">
        <v>0.0</v>
      </c>
      <c r="Z83" s="31">
        <v>0.0</v>
      </c>
      <c r="AA83" s="31">
        <v>0.0</v>
      </c>
      <c r="AB83" s="31">
        <v>1.0</v>
      </c>
      <c r="AC83" s="31">
        <v>0.0</v>
      </c>
      <c r="AD83" s="31">
        <v>1.0</v>
      </c>
      <c r="AE83" s="31">
        <v>4.0</v>
      </c>
      <c r="AF83" s="31">
        <v>0.0</v>
      </c>
      <c r="AG83" s="31">
        <v>0.0</v>
      </c>
      <c r="AH83" s="13"/>
      <c r="AI83" s="10" t="s">
        <v>44</v>
      </c>
      <c r="AJ83" s="10" t="s">
        <v>885</v>
      </c>
      <c r="AK83" s="29">
        <v>45307.0</v>
      </c>
      <c r="AL83" s="13">
        <v>1.0</v>
      </c>
      <c r="AM83" s="13">
        <v>0.0</v>
      </c>
      <c r="AN83" s="13">
        <v>1.0</v>
      </c>
      <c r="AO83" s="13">
        <v>1.0</v>
      </c>
      <c r="AP83" s="13">
        <v>1.0</v>
      </c>
      <c r="AQ83" s="13">
        <v>0.0</v>
      </c>
      <c r="AR83" s="13">
        <v>0.0</v>
      </c>
      <c r="AS83" s="13">
        <v>1.0</v>
      </c>
      <c r="AT83" s="13">
        <v>0.0</v>
      </c>
      <c r="AU83" s="13">
        <v>1.0</v>
      </c>
      <c r="AV83" s="13">
        <v>6.0</v>
      </c>
      <c r="AW83" s="13">
        <v>243.0</v>
      </c>
      <c r="AX83" s="13">
        <v>243.0</v>
      </c>
    </row>
    <row r="84">
      <c r="A84" s="10" t="s">
        <v>27</v>
      </c>
      <c r="B84" s="10" t="s">
        <v>500</v>
      </c>
      <c r="C84" s="29">
        <v>44007.0</v>
      </c>
      <c r="D84" s="13">
        <v>0.0</v>
      </c>
      <c r="E84" s="13">
        <v>1.0</v>
      </c>
      <c r="F84" s="13">
        <v>1.0</v>
      </c>
      <c r="G84" s="13">
        <v>0.0</v>
      </c>
      <c r="H84" s="13">
        <v>0.0</v>
      </c>
      <c r="I84" s="13">
        <v>0.0</v>
      </c>
      <c r="J84" s="13">
        <v>1.0</v>
      </c>
      <c r="K84" s="13">
        <v>1.0</v>
      </c>
      <c r="L84" s="13">
        <v>0.0</v>
      </c>
      <c r="M84" s="13">
        <v>1.0</v>
      </c>
      <c r="N84" s="13">
        <v>5.0</v>
      </c>
      <c r="O84" s="13">
        <v>27.0</v>
      </c>
      <c r="P84" s="13">
        <v>27.0</v>
      </c>
      <c r="Q84" s="10"/>
      <c r="R84" s="27" t="s">
        <v>35</v>
      </c>
      <c r="S84" s="27" t="s">
        <v>886</v>
      </c>
      <c r="T84" s="30">
        <v>42343.0</v>
      </c>
      <c r="U84" s="31">
        <v>0.0</v>
      </c>
      <c r="V84" s="31">
        <v>1.0</v>
      </c>
      <c r="W84" s="31">
        <v>1.0</v>
      </c>
      <c r="X84" s="31">
        <v>0.0</v>
      </c>
      <c r="Y84" s="31">
        <v>0.0</v>
      </c>
      <c r="Z84" s="31">
        <v>0.0</v>
      </c>
      <c r="AA84" s="31">
        <v>1.0</v>
      </c>
      <c r="AB84" s="31">
        <v>1.0</v>
      </c>
      <c r="AC84" s="31">
        <v>0.0</v>
      </c>
      <c r="AD84" s="31">
        <v>1.0</v>
      </c>
      <c r="AE84" s="31">
        <v>5.0</v>
      </c>
      <c r="AF84" s="31">
        <v>0.0</v>
      </c>
      <c r="AG84" s="31">
        <v>0.0</v>
      </c>
      <c r="AH84" s="13"/>
      <c r="AI84" s="10" t="s">
        <v>44</v>
      </c>
      <c r="AJ84" s="10" t="s">
        <v>887</v>
      </c>
      <c r="AK84" s="29">
        <v>45401.0</v>
      </c>
      <c r="AL84" s="13">
        <v>0.0</v>
      </c>
      <c r="AM84" s="13">
        <v>1.0</v>
      </c>
      <c r="AN84" s="13">
        <v>1.0</v>
      </c>
      <c r="AO84" s="13">
        <v>0.0</v>
      </c>
      <c r="AP84" s="13">
        <v>0.0</v>
      </c>
      <c r="AQ84" s="13">
        <v>0.0</v>
      </c>
      <c r="AR84" s="13">
        <v>1.0</v>
      </c>
      <c r="AS84" s="13">
        <v>1.0</v>
      </c>
      <c r="AT84" s="13">
        <v>0.0</v>
      </c>
      <c r="AU84" s="13">
        <v>1.0</v>
      </c>
      <c r="AV84" s="13">
        <v>6.0</v>
      </c>
      <c r="AW84" s="13">
        <v>249.0</v>
      </c>
      <c r="AX84" s="13">
        <v>249.0</v>
      </c>
    </row>
    <row r="85">
      <c r="A85" s="10" t="s">
        <v>27</v>
      </c>
      <c r="B85" s="10" t="s">
        <v>888</v>
      </c>
      <c r="C85" s="29">
        <v>44014.0</v>
      </c>
      <c r="D85" s="13">
        <v>0.0</v>
      </c>
      <c r="E85" s="13">
        <v>1.0</v>
      </c>
      <c r="F85" s="13">
        <v>1.0</v>
      </c>
      <c r="G85" s="13">
        <v>0.0</v>
      </c>
      <c r="H85" s="13">
        <v>0.0</v>
      </c>
      <c r="I85" s="13">
        <v>0.0</v>
      </c>
      <c r="J85" s="13">
        <v>1.0</v>
      </c>
      <c r="K85" s="13">
        <v>1.0</v>
      </c>
      <c r="L85" s="13">
        <v>0.0</v>
      </c>
      <c r="M85" s="13">
        <v>1.0</v>
      </c>
      <c r="N85" s="13">
        <v>5.0</v>
      </c>
      <c r="O85" s="13">
        <v>27.0</v>
      </c>
      <c r="P85" s="13">
        <v>27.0</v>
      </c>
      <c r="Q85" s="10"/>
      <c r="R85" s="27" t="s">
        <v>35</v>
      </c>
      <c r="S85" s="31">
        <v>0.7</v>
      </c>
      <c r="T85" s="30">
        <v>42422.0</v>
      </c>
      <c r="U85" s="31">
        <v>0.0</v>
      </c>
      <c r="V85" s="31">
        <v>1.0</v>
      </c>
      <c r="W85" s="31">
        <v>1.0</v>
      </c>
      <c r="X85" s="31">
        <v>0.0</v>
      </c>
      <c r="Y85" s="31">
        <v>0.0</v>
      </c>
      <c r="Z85" s="31">
        <v>0.0</v>
      </c>
      <c r="AA85" s="31">
        <v>0.0</v>
      </c>
      <c r="AB85" s="31">
        <v>1.0</v>
      </c>
      <c r="AC85" s="31">
        <v>0.0</v>
      </c>
      <c r="AD85" s="31">
        <v>1.0</v>
      </c>
      <c r="AE85" s="31">
        <v>4.0</v>
      </c>
      <c r="AF85" s="31">
        <v>0.0</v>
      </c>
      <c r="AG85" s="31">
        <v>0.0</v>
      </c>
      <c r="AH85" s="13"/>
      <c r="AI85" s="10" t="s">
        <v>44</v>
      </c>
      <c r="AJ85" s="10" t="s">
        <v>889</v>
      </c>
      <c r="AK85" s="29">
        <v>45457.0</v>
      </c>
      <c r="AL85" s="13">
        <v>0.0</v>
      </c>
      <c r="AM85" s="13">
        <v>0.0</v>
      </c>
      <c r="AN85" s="13">
        <v>1.0</v>
      </c>
      <c r="AO85" s="13">
        <v>0.0</v>
      </c>
      <c r="AP85" s="13">
        <v>0.0</v>
      </c>
      <c r="AQ85" s="13">
        <v>0.0</v>
      </c>
      <c r="AR85" s="13">
        <v>1.0</v>
      </c>
      <c r="AS85" s="13">
        <v>0.0</v>
      </c>
      <c r="AT85" s="13">
        <v>0.0</v>
      </c>
      <c r="AU85" s="13">
        <v>1.0</v>
      </c>
      <c r="AV85" s="13">
        <v>4.0</v>
      </c>
      <c r="AW85" s="13">
        <v>249.0</v>
      </c>
      <c r="AX85" s="13">
        <v>249.0</v>
      </c>
    </row>
    <row r="86">
      <c r="A86" s="10" t="s">
        <v>27</v>
      </c>
      <c r="B86" s="10" t="s">
        <v>853</v>
      </c>
      <c r="C86" s="29">
        <v>44022.0</v>
      </c>
      <c r="D86" s="13">
        <v>0.0</v>
      </c>
      <c r="E86" s="13">
        <v>1.0</v>
      </c>
      <c r="F86" s="13">
        <v>1.0</v>
      </c>
      <c r="G86" s="13">
        <v>0.0</v>
      </c>
      <c r="H86" s="13">
        <v>0.0</v>
      </c>
      <c r="I86" s="13">
        <v>0.0</v>
      </c>
      <c r="J86" s="13">
        <v>1.0</v>
      </c>
      <c r="K86" s="13">
        <v>1.0</v>
      </c>
      <c r="L86" s="13">
        <v>0.0</v>
      </c>
      <c r="M86" s="13">
        <v>1.0</v>
      </c>
      <c r="N86" s="13">
        <v>5.0</v>
      </c>
      <c r="O86" s="13">
        <v>27.0</v>
      </c>
      <c r="P86" s="13">
        <v>27.0</v>
      </c>
      <c r="Q86" s="10"/>
      <c r="R86" s="27" t="s">
        <v>35</v>
      </c>
      <c r="S86" s="27" t="s">
        <v>890</v>
      </c>
      <c r="T86" s="30">
        <v>42426.0</v>
      </c>
      <c r="U86" s="31">
        <v>0.0</v>
      </c>
      <c r="V86" s="31">
        <v>1.0</v>
      </c>
      <c r="W86" s="31">
        <v>1.0</v>
      </c>
      <c r="X86" s="31">
        <v>0.0</v>
      </c>
      <c r="Y86" s="31">
        <v>0.0</v>
      </c>
      <c r="Z86" s="31">
        <v>0.0</v>
      </c>
      <c r="AA86" s="31">
        <v>0.0</v>
      </c>
      <c r="AB86" s="31">
        <v>1.0</v>
      </c>
      <c r="AC86" s="31">
        <v>0.0</v>
      </c>
      <c r="AD86" s="31">
        <v>1.0</v>
      </c>
      <c r="AE86" s="31">
        <v>4.0</v>
      </c>
      <c r="AF86" s="31">
        <v>0.0</v>
      </c>
      <c r="AG86" s="31">
        <v>0.0</v>
      </c>
      <c r="AH86" s="13"/>
      <c r="AI86" s="10" t="s">
        <v>44</v>
      </c>
      <c r="AJ86" s="10" t="s">
        <v>891</v>
      </c>
      <c r="AK86" s="29">
        <v>45523.0</v>
      </c>
      <c r="AL86" s="13">
        <v>1.0</v>
      </c>
      <c r="AM86" s="13">
        <v>0.0</v>
      </c>
      <c r="AN86" s="13">
        <v>1.0</v>
      </c>
      <c r="AO86" s="13">
        <v>1.0</v>
      </c>
      <c r="AP86" s="13">
        <v>0.0</v>
      </c>
      <c r="AQ86" s="13">
        <v>0.0</v>
      </c>
      <c r="AR86" s="13">
        <v>1.0</v>
      </c>
      <c r="AS86" s="13">
        <v>0.0</v>
      </c>
      <c r="AT86" s="13">
        <v>0.0</v>
      </c>
      <c r="AU86" s="13">
        <v>1.0</v>
      </c>
      <c r="AV86" s="13">
        <v>5.0</v>
      </c>
      <c r="AW86" s="13">
        <v>260.0</v>
      </c>
      <c r="AX86" s="13">
        <v>260.0</v>
      </c>
    </row>
    <row r="87">
      <c r="A87" s="10" t="s">
        <v>27</v>
      </c>
      <c r="B87" s="10" t="s">
        <v>855</v>
      </c>
      <c r="C87" s="29">
        <v>44056.0</v>
      </c>
      <c r="D87" s="13">
        <v>0.0</v>
      </c>
      <c r="E87" s="13">
        <v>1.0</v>
      </c>
      <c r="F87" s="13">
        <v>1.0</v>
      </c>
      <c r="G87" s="13">
        <v>0.0</v>
      </c>
      <c r="H87" s="13">
        <v>0.0</v>
      </c>
      <c r="I87" s="13">
        <v>0.0</v>
      </c>
      <c r="J87" s="13">
        <v>1.0</v>
      </c>
      <c r="K87" s="13">
        <v>1.0</v>
      </c>
      <c r="L87" s="13">
        <v>0.0</v>
      </c>
      <c r="M87" s="13">
        <v>1.0</v>
      </c>
      <c r="N87" s="13">
        <v>5.0</v>
      </c>
      <c r="O87" s="13">
        <v>27.0</v>
      </c>
      <c r="P87" s="13">
        <v>27.0</v>
      </c>
      <c r="Q87" s="10"/>
      <c r="R87" s="27" t="s">
        <v>35</v>
      </c>
      <c r="S87" s="27" t="s">
        <v>892</v>
      </c>
      <c r="T87" s="30">
        <v>42429.0</v>
      </c>
      <c r="U87" s="31">
        <v>0.0</v>
      </c>
      <c r="V87" s="31">
        <v>1.0</v>
      </c>
      <c r="W87" s="31">
        <v>1.0</v>
      </c>
      <c r="X87" s="31">
        <v>0.0</v>
      </c>
      <c r="Y87" s="31">
        <v>0.0</v>
      </c>
      <c r="Z87" s="31">
        <v>0.0</v>
      </c>
      <c r="AA87" s="31">
        <v>0.0</v>
      </c>
      <c r="AB87" s="31">
        <v>1.0</v>
      </c>
      <c r="AC87" s="31">
        <v>0.0</v>
      </c>
      <c r="AD87" s="31">
        <v>1.0</v>
      </c>
      <c r="AE87" s="31">
        <v>4.0</v>
      </c>
      <c r="AF87" s="31">
        <v>0.0</v>
      </c>
      <c r="AG87" s="31">
        <v>0.0</v>
      </c>
      <c r="AH87" s="13"/>
      <c r="AI87" s="10" t="s">
        <v>43</v>
      </c>
      <c r="AJ87" s="10" t="s">
        <v>813</v>
      </c>
      <c r="AK87" s="29">
        <v>43279.0</v>
      </c>
      <c r="AL87" s="13">
        <v>0.0</v>
      </c>
      <c r="AM87" s="13">
        <v>1.0</v>
      </c>
      <c r="AN87" s="13">
        <v>1.0</v>
      </c>
      <c r="AO87" s="13">
        <v>0.0</v>
      </c>
      <c r="AP87" s="13">
        <v>0.0</v>
      </c>
      <c r="AQ87" s="13">
        <v>0.0</v>
      </c>
      <c r="AR87" s="13">
        <v>0.0</v>
      </c>
      <c r="AS87" s="13">
        <v>1.0</v>
      </c>
      <c r="AT87" s="13">
        <v>0.0</v>
      </c>
      <c r="AU87" s="13">
        <v>1.0</v>
      </c>
      <c r="AV87" s="13">
        <v>4.0</v>
      </c>
      <c r="AW87" s="13">
        <v>20.0</v>
      </c>
      <c r="AX87" s="13">
        <v>20.0</v>
      </c>
    </row>
    <row r="88">
      <c r="A88" s="10" t="s">
        <v>27</v>
      </c>
      <c r="B88" s="10" t="s">
        <v>893</v>
      </c>
      <c r="C88" s="29">
        <v>44068.0</v>
      </c>
      <c r="D88" s="13">
        <v>0.0</v>
      </c>
      <c r="E88" s="13">
        <v>1.0</v>
      </c>
      <c r="F88" s="13">
        <v>1.0</v>
      </c>
      <c r="G88" s="13">
        <v>0.0</v>
      </c>
      <c r="H88" s="13">
        <v>0.0</v>
      </c>
      <c r="I88" s="13">
        <v>0.0</v>
      </c>
      <c r="J88" s="13">
        <v>1.0</v>
      </c>
      <c r="K88" s="13">
        <v>1.0</v>
      </c>
      <c r="L88" s="13">
        <v>0.0</v>
      </c>
      <c r="M88" s="13">
        <v>1.0</v>
      </c>
      <c r="N88" s="13">
        <v>5.0</v>
      </c>
      <c r="O88" s="13">
        <v>27.0</v>
      </c>
      <c r="P88" s="13">
        <v>27.0</v>
      </c>
      <c r="Q88" s="10"/>
      <c r="R88" s="27" t="s">
        <v>35</v>
      </c>
      <c r="S88" s="27" t="s">
        <v>894</v>
      </c>
      <c r="T88" s="30">
        <v>42489.0</v>
      </c>
      <c r="U88" s="31">
        <v>0.0</v>
      </c>
      <c r="V88" s="31">
        <v>1.0</v>
      </c>
      <c r="W88" s="31">
        <v>1.0</v>
      </c>
      <c r="X88" s="31">
        <v>0.0</v>
      </c>
      <c r="Y88" s="31">
        <v>0.0</v>
      </c>
      <c r="Z88" s="31">
        <v>0.0</v>
      </c>
      <c r="AA88" s="31">
        <v>0.0</v>
      </c>
      <c r="AB88" s="31">
        <v>1.0</v>
      </c>
      <c r="AC88" s="31">
        <v>0.0</v>
      </c>
      <c r="AD88" s="31">
        <v>1.0</v>
      </c>
      <c r="AE88" s="31">
        <v>4.0</v>
      </c>
      <c r="AF88" s="31">
        <v>0.0</v>
      </c>
      <c r="AG88" s="31">
        <v>0.0</v>
      </c>
      <c r="AH88" s="13"/>
      <c r="AI88" s="10" t="s">
        <v>43</v>
      </c>
      <c r="AJ88" s="10" t="s">
        <v>895</v>
      </c>
      <c r="AK88" s="29">
        <v>43280.0</v>
      </c>
      <c r="AL88" s="13">
        <v>0.0</v>
      </c>
      <c r="AM88" s="13">
        <v>1.0</v>
      </c>
      <c r="AN88" s="13">
        <v>1.0</v>
      </c>
      <c r="AO88" s="13">
        <v>0.0</v>
      </c>
      <c r="AP88" s="13">
        <v>0.0</v>
      </c>
      <c r="AQ88" s="13">
        <v>0.0</v>
      </c>
      <c r="AR88" s="13">
        <v>1.0</v>
      </c>
      <c r="AS88" s="13">
        <v>1.0</v>
      </c>
      <c r="AT88" s="13">
        <v>0.0</v>
      </c>
      <c r="AU88" s="13">
        <v>1.0</v>
      </c>
      <c r="AV88" s="13">
        <v>5.0</v>
      </c>
      <c r="AW88" s="13">
        <v>20.0</v>
      </c>
      <c r="AX88" s="13">
        <v>20.0</v>
      </c>
    </row>
    <row r="89">
      <c r="A89" s="10" t="s">
        <v>27</v>
      </c>
      <c r="B89" s="10" t="s">
        <v>896</v>
      </c>
      <c r="C89" s="29">
        <v>44125.0</v>
      </c>
      <c r="D89" s="13">
        <v>0.0</v>
      </c>
      <c r="E89" s="13">
        <v>1.0</v>
      </c>
      <c r="F89" s="13">
        <v>1.0</v>
      </c>
      <c r="G89" s="13">
        <v>0.0</v>
      </c>
      <c r="H89" s="13">
        <v>0.0</v>
      </c>
      <c r="I89" s="13">
        <v>0.0</v>
      </c>
      <c r="J89" s="13">
        <v>1.0</v>
      </c>
      <c r="K89" s="13">
        <v>1.0</v>
      </c>
      <c r="L89" s="13">
        <v>0.0</v>
      </c>
      <c r="M89" s="13">
        <v>1.0</v>
      </c>
      <c r="N89" s="13">
        <v>5.0</v>
      </c>
      <c r="O89" s="13">
        <v>26.0</v>
      </c>
      <c r="P89" s="13">
        <v>26.0</v>
      </c>
      <c r="Q89" s="10"/>
      <c r="R89" s="27" t="s">
        <v>35</v>
      </c>
      <c r="S89" s="31">
        <v>0.8</v>
      </c>
      <c r="T89" s="30">
        <v>42521.0</v>
      </c>
      <c r="U89" s="31">
        <v>0.0</v>
      </c>
      <c r="V89" s="31">
        <v>1.0</v>
      </c>
      <c r="W89" s="31">
        <v>1.0</v>
      </c>
      <c r="X89" s="31">
        <v>0.0</v>
      </c>
      <c r="Y89" s="31">
        <v>0.0</v>
      </c>
      <c r="Z89" s="31">
        <v>0.0</v>
      </c>
      <c r="AA89" s="31">
        <v>1.0</v>
      </c>
      <c r="AB89" s="31">
        <v>1.0</v>
      </c>
      <c r="AC89" s="31">
        <v>0.0</v>
      </c>
      <c r="AD89" s="31">
        <v>1.0</v>
      </c>
      <c r="AE89" s="31">
        <v>5.0</v>
      </c>
      <c r="AF89" s="31">
        <v>0.0</v>
      </c>
      <c r="AG89" s="31">
        <v>0.0</v>
      </c>
      <c r="AH89" s="13"/>
      <c r="AI89" s="10" t="s">
        <v>43</v>
      </c>
      <c r="AJ89" s="10" t="s">
        <v>897</v>
      </c>
      <c r="AK89" s="29">
        <v>43288.0</v>
      </c>
      <c r="AL89" s="13">
        <v>0.0</v>
      </c>
      <c r="AM89" s="13">
        <v>1.0</v>
      </c>
      <c r="AN89" s="13">
        <v>1.0</v>
      </c>
      <c r="AO89" s="13">
        <v>0.0</v>
      </c>
      <c r="AP89" s="13">
        <v>0.0</v>
      </c>
      <c r="AQ89" s="13">
        <v>0.0</v>
      </c>
      <c r="AR89" s="13">
        <v>1.0</v>
      </c>
      <c r="AS89" s="13">
        <v>1.0</v>
      </c>
      <c r="AT89" s="13">
        <v>0.0</v>
      </c>
      <c r="AU89" s="13">
        <v>1.0</v>
      </c>
      <c r="AV89" s="13">
        <v>5.0</v>
      </c>
      <c r="AW89" s="13">
        <v>21.0</v>
      </c>
      <c r="AX89" s="13">
        <v>21.0</v>
      </c>
    </row>
    <row r="90">
      <c r="A90" s="10" t="s">
        <v>27</v>
      </c>
      <c r="B90" s="10" t="s">
        <v>501</v>
      </c>
      <c r="C90" s="29">
        <v>44216.0</v>
      </c>
      <c r="D90" s="13">
        <v>0.0</v>
      </c>
      <c r="E90" s="13">
        <v>1.0</v>
      </c>
      <c r="F90" s="13">
        <v>1.0</v>
      </c>
      <c r="G90" s="13">
        <v>0.0</v>
      </c>
      <c r="H90" s="13">
        <v>0.0</v>
      </c>
      <c r="I90" s="13">
        <v>0.0</v>
      </c>
      <c r="J90" s="13">
        <v>1.0</v>
      </c>
      <c r="K90" s="13">
        <v>1.0</v>
      </c>
      <c r="L90" s="13">
        <v>0.0</v>
      </c>
      <c r="M90" s="13">
        <v>1.0</v>
      </c>
      <c r="N90" s="13">
        <v>5.0</v>
      </c>
      <c r="O90" s="13">
        <v>27.0</v>
      </c>
      <c r="P90" s="13">
        <v>27.0</v>
      </c>
      <c r="Q90" s="10"/>
      <c r="R90" s="27" t="s">
        <v>35</v>
      </c>
      <c r="S90" s="27" t="s">
        <v>865</v>
      </c>
      <c r="T90" s="30">
        <v>42600.0</v>
      </c>
      <c r="U90" s="31">
        <v>0.0</v>
      </c>
      <c r="V90" s="31">
        <v>1.0</v>
      </c>
      <c r="W90" s="31">
        <v>1.0</v>
      </c>
      <c r="X90" s="31">
        <v>0.0</v>
      </c>
      <c r="Y90" s="31">
        <v>0.0</v>
      </c>
      <c r="Z90" s="31">
        <v>0.0</v>
      </c>
      <c r="AA90" s="31">
        <v>1.0</v>
      </c>
      <c r="AB90" s="31">
        <v>1.0</v>
      </c>
      <c r="AC90" s="31">
        <v>0.0</v>
      </c>
      <c r="AD90" s="31">
        <v>1.0</v>
      </c>
      <c r="AE90" s="31">
        <v>5.0</v>
      </c>
      <c r="AF90" s="31">
        <v>1.0</v>
      </c>
      <c r="AG90" s="31">
        <v>1.0</v>
      </c>
      <c r="AH90" s="13"/>
      <c r="AI90" s="10" t="s">
        <v>43</v>
      </c>
      <c r="AJ90" s="10" t="s">
        <v>898</v>
      </c>
      <c r="AK90" s="29">
        <v>43293.0</v>
      </c>
      <c r="AL90" s="13">
        <v>0.0</v>
      </c>
      <c r="AM90" s="13">
        <v>1.0</v>
      </c>
      <c r="AN90" s="13">
        <v>1.0</v>
      </c>
      <c r="AO90" s="13">
        <v>0.0</v>
      </c>
      <c r="AP90" s="13">
        <v>0.0</v>
      </c>
      <c r="AQ90" s="13">
        <v>0.0</v>
      </c>
      <c r="AR90" s="13">
        <v>1.0</v>
      </c>
      <c r="AS90" s="13">
        <v>1.0</v>
      </c>
      <c r="AT90" s="13">
        <v>0.0</v>
      </c>
      <c r="AU90" s="13">
        <v>1.0</v>
      </c>
      <c r="AV90" s="13">
        <v>5.0</v>
      </c>
      <c r="AW90" s="13">
        <v>21.0</v>
      </c>
      <c r="AX90" s="13">
        <v>21.0</v>
      </c>
    </row>
    <row r="91">
      <c r="A91" s="10" t="s">
        <v>27</v>
      </c>
      <c r="B91" s="10" t="s">
        <v>868</v>
      </c>
      <c r="C91" s="29">
        <v>44242.0</v>
      </c>
      <c r="D91" s="13">
        <v>0.0</v>
      </c>
      <c r="E91" s="13">
        <v>1.0</v>
      </c>
      <c r="F91" s="13">
        <v>1.0</v>
      </c>
      <c r="G91" s="13">
        <v>0.0</v>
      </c>
      <c r="H91" s="13">
        <v>0.0</v>
      </c>
      <c r="I91" s="13">
        <v>0.0</v>
      </c>
      <c r="J91" s="13">
        <v>1.0</v>
      </c>
      <c r="K91" s="13">
        <v>1.0</v>
      </c>
      <c r="L91" s="13">
        <v>0.0</v>
      </c>
      <c r="M91" s="13">
        <v>1.0</v>
      </c>
      <c r="N91" s="13">
        <v>5.0</v>
      </c>
      <c r="O91" s="13">
        <v>40.0</v>
      </c>
      <c r="P91" s="13">
        <v>40.0</v>
      </c>
      <c r="Q91" s="10"/>
      <c r="R91" s="27" t="s">
        <v>35</v>
      </c>
      <c r="S91" s="27" t="s">
        <v>869</v>
      </c>
      <c r="T91" s="30">
        <v>42628.0</v>
      </c>
      <c r="U91" s="31">
        <v>0.0</v>
      </c>
      <c r="V91" s="31">
        <v>1.0</v>
      </c>
      <c r="W91" s="31">
        <v>1.0</v>
      </c>
      <c r="X91" s="31">
        <v>0.0</v>
      </c>
      <c r="Y91" s="31">
        <v>0.0</v>
      </c>
      <c r="Z91" s="31">
        <v>0.0</v>
      </c>
      <c r="AA91" s="31">
        <v>1.0</v>
      </c>
      <c r="AB91" s="31">
        <v>1.0</v>
      </c>
      <c r="AC91" s="31">
        <v>0.0</v>
      </c>
      <c r="AD91" s="31">
        <v>1.0</v>
      </c>
      <c r="AE91" s="31">
        <v>5.0</v>
      </c>
      <c r="AF91" s="31">
        <v>1.0</v>
      </c>
      <c r="AG91" s="31">
        <v>1.0</v>
      </c>
      <c r="AH91" s="13"/>
      <c r="AI91" s="10" t="s">
        <v>43</v>
      </c>
      <c r="AJ91" s="10" t="s">
        <v>899</v>
      </c>
      <c r="AK91" s="29">
        <v>43294.0</v>
      </c>
      <c r="AL91" s="13">
        <v>0.0</v>
      </c>
      <c r="AM91" s="13">
        <v>1.0</v>
      </c>
      <c r="AN91" s="13">
        <v>1.0</v>
      </c>
      <c r="AO91" s="13">
        <v>0.0</v>
      </c>
      <c r="AP91" s="13">
        <v>0.0</v>
      </c>
      <c r="AQ91" s="13">
        <v>0.0</v>
      </c>
      <c r="AR91" s="13">
        <v>1.0</v>
      </c>
      <c r="AS91" s="13">
        <v>1.0</v>
      </c>
      <c r="AT91" s="13">
        <v>0.0</v>
      </c>
      <c r="AU91" s="13">
        <v>1.0</v>
      </c>
      <c r="AV91" s="13">
        <v>5.0</v>
      </c>
      <c r="AW91" s="13">
        <v>21.0</v>
      </c>
      <c r="AX91" s="13">
        <v>21.0</v>
      </c>
    </row>
    <row r="92">
      <c r="A92" s="10" t="s">
        <v>27</v>
      </c>
      <c r="B92" s="10" t="s">
        <v>872</v>
      </c>
      <c r="C92" s="29">
        <v>44259.0</v>
      </c>
      <c r="D92" s="13">
        <v>1.0</v>
      </c>
      <c r="E92" s="13">
        <v>0.0</v>
      </c>
      <c r="F92" s="13">
        <v>1.0</v>
      </c>
      <c r="G92" s="13">
        <v>1.0</v>
      </c>
      <c r="H92" s="13">
        <v>0.0</v>
      </c>
      <c r="I92" s="13">
        <v>0.0</v>
      </c>
      <c r="J92" s="13">
        <v>1.0</v>
      </c>
      <c r="K92" s="13">
        <v>1.0</v>
      </c>
      <c r="L92" s="13">
        <v>0.0</v>
      </c>
      <c r="M92" s="13">
        <v>1.0</v>
      </c>
      <c r="N92" s="13">
        <v>6.0</v>
      </c>
      <c r="O92" s="13">
        <v>45.0</v>
      </c>
      <c r="P92" s="13">
        <v>45.0</v>
      </c>
      <c r="Q92" s="10"/>
      <c r="R92" s="27" t="s">
        <v>35</v>
      </c>
      <c r="S92" s="27" t="s">
        <v>900</v>
      </c>
      <c r="T92" s="30">
        <v>42699.0</v>
      </c>
      <c r="U92" s="31">
        <v>0.0</v>
      </c>
      <c r="V92" s="31">
        <v>1.0</v>
      </c>
      <c r="W92" s="31">
        <v>1.0</v>
      </c>
      <c r="X92" s="31">
        <v>0.0</v>
      </c>
      <c r="Y92" s="31">
        <v>0.0</v>
      </c>
      <c r="Z92" s="31">
        <v>0.0</v>
      </c>
      <c r="AA92" s="31">
        <v>0.0</v>
      </c>
      <c r="AB92" s="31">
        <v>1.0</v>
      </c>
      <c r="AC92" s="31">
        <v>0.0</v>
      </c>
      <c r="AD92" s="31">
        <v>1.0</v>
      </c>
      <c r="AE92" s="31">
        <v>4.0</v>
      </c>
      <c r="AF92" s="31">
        <v>1.0</v>
      </c>
      <c r="AG92" s="31">
        <v>1.0</v>
      </c>
      <c r="AH92" s="13"/>
      <c r="AI92" s="10" t="s">
        <v>43</v>
      </c>
      <c r="AJ92" s="10" t="s">
        <v>814</v>
      </c>
      <c r="AK92" s="29">
        <v>43298.0</v>
      </c>
      <c r="AL92" s="13">
        <v>0.0</v>
      </c>
      <c r="AM92" s="13">
        <v>1.0</v>
      </c>
      <c r="AN92" s="13">
        <v>1.0</v>
      </c>
      <c r="AO92" s="13">
        <v>0.0</v>
      </c>
      <c r="AP92" s="13">
        <v>0.0</v>
      </c>
      <c r="AQ92" s="13">
        <v>0.0</v>
      </c>
      <c r="AR92" s="13">
        <v>1.0</v>
      </c>
      <c r="AS92" s="13">
        <v>1.0</v>
      </c>
      <c r="AT92" s="13">
        <v>0.0</v>
      </c>
      <c r="AU92" s="13">
        <v>1.0</v>
      </c>
      <c r="AV92" s="13">
        <v>5.0</v>
      </c>
      <c r="AW92" s="13">
        <v>22.0</v>
      </c>
      <c r="AX92" s="13">
        <v>22.0</v>
      </c>
    </row>
    <row r="93">
      <c r="A93" s="10" t="s">
        <v>27</v>
      </c>
      <c r="B93" s="10" t="s">
        <v>877</v>
      </c>
      <c r="C93" s="29">
        <v>44360.0</v>
      </c>
      <c r="D93" s="13">
        <v>1.0</v>
      </c>
      <c r="E93" s="13">
        <v>1.0</v>
      </c>
      <c r="F93" s="13">
        <v>1.0</v>
      </c>
      <c r="G93" s="13">
        <v>1.0</v>
      </c>
      <c r="H93" s="13">
        <v>0.0</v>
      </c>
      <c r="I93" s="13">
        <v>0.0</v>
      </c>
      <c r="J93" s="13">
        <v>1.0</v>
      </c>
      <c r="K93" s="13">
        <v>1.0</v>
      </c>
      <c r="L93" s="13">
        <v>0.0</v>
      </c>
      <c r="M93" s="13">
        <v>1.0</v>
      </c>
      <c r="N93" s="13">
        <v>7.0</v>
      </c>
      <c r="O93" s="13">
        <v>49.0</v>
      </c>
      <c r="P93" s="13">
        <v>49.0</v>
      </c>
      <c r="Q93" s="10"/>
      <c r="R93" s="27" t="s">
        <v>35</v>
      </c>
      <c r="S93" s="27" t="s">
        <v>901</v>
      </c>
      <c r="T93" s="30">
        <v>42740.0</v>
      </c>
      <c r="U93" s="31">
        <v>0.0</v>
      </c>
      <c r="V93" s="31">
        <v>1.0</v>
      </c>
      <c r="W93" s="31">
        <v>1.0</v>
      </c>
      <c r="X93" s="31">
        <v>0.0</v>
      </c>
      <c r="Y93" s="31">
        <v>0.0</v>
      </c>
      <c r="Z93" s="31">
        <v>0.0</v>
      </c>
      <c r="AA93" s="31">
        <v>1.0</v>
      </c>
      <c r="AB93" s="31">
        <v>1.0</v>
      </c>
      <c r="AC93" s="31">
        <v>0.0</v>
      </c>
      <c r="AD93" s="31">
        <v>1.0</v>
      </c>
      <c r="AE93" s="31">
        <v>5.0</v>
      </c>
      <c r="AF93" s="31">
        <v>1.0</v>
      </c>
      <c r="AG93" s="31">
        <v>1.0</v>
      </c>
      <c r="AH93" s="13"/>
      <c r="AI93" s="10" t="s">
        <v>43</v>
      </c>
      <c r="AJ93" s="10" t="s">
        <v>816</v>
      </c>
      <c r="AK93" s="29">
        <v>43298.0</v>
      </c>
      <c r="AL93" s="13">
        <v>0.0</v>
      </c>
      <c r="AM93" s="13">
        <v>1.0</v>
      </c>
      <c r="AN93" s="13">
        <v>1.0</v>
      </c>
      <c r="AO93" s="13">
        <v>0.0</v>
      </c>
      <c r="AP93" s="13">
        <v>0.0</v>
      </c>
      <c r="AQ93" s="13">
        <v>0.0</v>
      </c>
      <c r="AR93" s="13">
        <v>1.0</v>
      </c>
      <c r="AS93" s="13">
        <v>1.0</v>
      </c>
      <c r="AT93" s="13">
        <v>0.0</v>
      </c>
      <c r="AU93" s="13">
        <v>1.0</v>
      </c>
      <c r="AV93" s="13">
        <v>5.0</v>
      </c>
      <c r="AW93" s="13">
        <v>22.0</v>
      </c>
      <c r="AX93" s="13">
        <v>22.0</v>
      </c>
    </row>
    <row r="94">
      <c r="A94" s="10" t="s">
        <v>27</v>
      </c>
      <c r="B94" s="10" t="s">
        <v>882</v>
      </c>
      <c r="C94" s="29">
        <v>44487.0</v>
      </c>
      <c r="D94" s="13">
        <v>0.0</v>
      </c>
      <c r="E94" s="13">
        <v>1.0</v>
      </c>
      <c r="F94" s="13">
        <v>1.0</v>
      </c>
      <c r="G94" s="13">
        <v>0.0</v>
      </c>
      <c r="H94" s="13">
        <v>0.0</v>
      </c>
      <c r="I94" s="13">
        <v>0.0</v>
      </c>
      <c r="J94" s="13">
        <v>1.0</v>
      </c>
      <c r="K94" s="13">
        <v>1.0</v>
      </c>
      <c r="L94" s="13">
        <v>0.0</v>
      </c>
      <c r="M94" s="13">
        <v>1.0</v>
      </c>
      <c r="N94" s="13">
        <v>5.0</v>
      </c>
      <c r="O94" s="13">
        <v>52.0</v>
      </c>
      <c r="P94" s="13">
        <v>52.0</v>
      </c>
      <c r="Q94" s="10"/>
      <c r="R94" s="27" t="s">
        <v>35</v>
      </c>
      <c r="S94" s="27" t="s">
        <v>902</v>
      </c>
      <c r="T94" s="30">
        <v>42763.0</v>
      </c>
      <c r="U94" s="31">
        <v>0.0</v>
      </c>
      <c r="V94" s="31">
        <v>1.0</v>
      </c>
      <c r="W94" s="31">
        <v>1.0</v>
      </c>
      <c r="X94" s="31">
        <v>0.0</v>
      </c>
      <c r="Y94" s="31">
        <v>0.0</v>
      </c>
      <c r="Z94" s="31">
        <v>0.0</v>
      </c>
      <c r="AA94" s="31">
        <v>0.0</v>
      </c>
      <c r="AB94" s="31">
        <v>1.0</v>
      </c>
      <c r="AC94" s="31">
        <v>0.0</v>
      </c>
      <c r="AD94" s="31">
        <v>1.0</v>
      </c>
      <c r="AE94" s="31">
        <v>4.0</v>
      </c>
      <c r="AF94" s="31">
        <v>1.0</v>
      </c>
      <c r="AG94" s="31">
        <v>1.0</v>
      </c>
      <c r="AH94" s="13"/>
      <c r="AI94" s="10" t="s">
        <v>43</v>
      </c>
      <c r="AJ94" s="10" t="s">
        <v>818</v>
      </c>
      <c r="AK94" s="29">
        <v>43304.0</v>
      </c>
      <c r="AL94" s="13">
        <v>0.0</v>
      </c>
      <c r="AM94" s="13">
        <v>1.0</v>
      </c>
      <c r="AN94" s="13">
        <v>1.0</v>
      </c>
      <c r="AO94" s="13">
        <v>0.0</v>
      </c>
      <c r="AP94" s="13">
        <v>0.0</v>
      </c>
      <c r="AQ94" s="13">
        <v>0.0</v>
      </c>
      <c r="AR94" s="13">
        <v>1.0</v>
      </c>
      <c r="AS94" s="13">
        <v>1.0</v>
      </c>
      <c r="AT94" s="13">
        <v>0.0</v>
      </c>
      <c r="AU94" s="13">
        <v>1.0</v>
      </c>
      <c r="AV94" s="13">
        <v>5.0</v>
      </c>
      <c r="AW94" s="13">
        <v>22.0</v>
      </c>
      <c r="AX94" s="13">
        <v>22.0</v>
      </c>
    </row>
    <row r="95">
      <c r="A95" s="10" t="s">
        <v>27</v>
      </c>
      <c r="B95" s="10" t="s">
        <v>887</v>
      </c>
      <c r="C95" s="29">
        <v>44572.0</v>
      </c>
      <c r="D95" s="13">
        <v>0.0</v>
      </c>
      <c r="E95" s="13">
        <v>1.0</v>
      </c>
      <c r="F95" s="13">
        <v>1.0</v>
      </c>
      <c r="G95" s="13">
        <v>0.0</v>
      </c>
      <c r="H95" s="13">
        <v>0.0</v>
      </c>
      <c r="I95" s="13">
        <v>0.0</v>
      </c>
      <c r="J95" s="13">
        <v>1.0</v>
      </c>
      <c r="K95" s="13">
        <v>1.0</v>
      </c>
      <c r="L95" s="13">
        <v>0.0</v>
      </c>
      <c r="M95" s="13">
        <v>1.0</v>
      </c>
      <c r="N95" s="13">
        <v>5.0</v>
      </c>
      <c r="O95" s="13">
        <v>62.0</v>
      </c>
      <c r="P95" s="13">
        <v>62.0</v>
      </c>
      <c r="Q95" s="10"/>
      <c r="R95" s="27" t="s">
        <v>35</v>
      </c>
      <c r="S95" s="27" t="s">
        <v>903</v>
      </c>
      <c r="T95" s="30">
        <v>42768.0</v>
      </c>
      <c r="U95" s="31">
        <v>0.0</v>
      </c>
      <c r="V95" s="31">
        <v>1.0</v>
      </c>
      <c r="W95" s="31">
        <v>1.0</v>
      </c>
      <c r="X95" s="31">
        <v>0.0</v>
      </c>
      <c r="Y95" s="31">
        <v>0.0</v>
      </c>
      <c r="Z95" s="31">
        <v>0.0</v>
      </c>
      <c r="AA95" s="31">
        <v>0.0</v>
      </c>
      <c r="AB95" s="31">
        <v>1.0</v>
      </c>
      <c r="AC95" s="31">
        <v>0.0</v>
      </c>
      <c r="AD95" s="31">
        <v>1.0</v>
      </c>
      <c r="AE95" s="31">
        <v>4.0</v>
      </c>
      <c r="AF95" s="31">
        <v>1.0</v>
      </c>
      <c r="AG95" s="31">
        <v>1.0</v>
      </c>
      <c r="AH95" s="13"/>
      <c r="AI95" s="10" t="s">
        <v>43</v>
      </c>
      <c r="AJ95" s="10" t="s">
        <v>832</v>
      </c>
      <c r="AK95" s="29">
        <v>43305.0</v>
      </c>
      <c r="AL95" s="13">
        <v>0.0</v>
      </c>
      <c r="AM95" s="13">
        <v>1.0</v>
      </c>
      <c r="AN95" s="13">
        <v>1.0</v>
      </c>
      <c r="AO95" s="13">
        <v>0.0</v>
      </c>
      <c r="AP95" s="13">
        <v>0.0</v>
      </c>
      <c r="AQ95" s="13">
        <v>0.0</v>
      </c>
      <c r="AR95" s="13">
        <v>1.0</v>
      </c>
      <c r="AS95" s="13">
        <v>1.0</v>
      </c>
      <c r="AT95" s="13">
        <v>0.0</v>
      </c>
      <c r="AU95" s="13">
        <v>1.0</v>
      </c>
      <c r="AV95" s="13">
        <v>5.0</v>
      </c>
      <c r="AW95" s="13">
        <v>22.0</v>
      </c>
      <c r="AX95" s="13">
        <v>22.0</v>
      </c>
    </row>
    <row r="96">
      <c r="A96" s="10" t="s">
        <v>27</v>
      </c>
      <c r="B96" s="10" t="s">
        <v>891</v>
      </c>
      <c r="C96" s="29">
        <v>44642.0</v>
      </c>
      <c r="D96" s="13">
        <v>0.0</v>
      </c>
      <c r="E96" s="13">
        <v>1.0</v>
      </c>
      <c r="F96" s="13">
        <v>1.0</v>
      </c>
      <c r="G96" s="13">
        <v>0.0</v>
      </c>
      <c r="H96" s="13">
        <v>0.0</v>
      </c>
      <c r="I96" s="13">
        <v>0.0</v>
      </c>
      <c r="J96" s="13">
        <v>1.0</v>
      </c>
      <c r="K96" s="13">
        <v>1.0</v>
      </c>
      <c r="L96" s="13">
        <v>0.0</v>
      </c>
      <c r="M96" s="13">
        <v>1.0</v>
      </c>
      <c r="N96" s="13">
        <v>5.0</v>
      </c>
      <c r="O96" s="13">
        <v>91.0</v>
      </c>
      <c r="P96" s="13">
        <v>91.0</v>
      </c>
      <c r="Q96" s="10"/>
      <c r="R96" s="27" t="s">
        <v>35</v>
      </c>
      <c r="S96" s="27" t="s">
        <v>904</v>
      </c>
      <c r="T96" s="30">
        <v>42799.0</v>
      </c>
      <c r="U96" s="31">
        <v>0.0</v>
      </c>
      <c r="V96" s="31">
        <v>1.0</v>
      </c>
      <c r="W96" s="31">
        <v>1.0</v>
      </c>
      <c r="X96" s="31">
        <v>0.0</v>
      </c>
      <c r="Y96" s="31">
        <v>0.0</v>
      </c>
      <c r="Z96" s="31">
        <v>0.0</v>
      </c>
      <c r="AA96" s="31">
        <v>1.0</v>
      </c>
      <c r="AB96" s="31">
        <v>1.0</v>
      </c>
      <c r="AC96" s="31">
        <v>0.0</v>
      </c>
      <c r="AD96" s="31">
        <v>1.0</v>
      </c>
      <c r="AE96" s="31">
        <v>5.0</v>
      </c>
      <c r="AF96" s="31">
        <v>1.0</v>
      </c>
      <c r="AG96" s="31">
        <v>1.0</v>
      </c>
      <c r="AH96" s="13"/>
      <c r="AI96" s="10" t="s">
        <v>43</v>
      </c>
      <c r="AJ96" s="10" t="s">
        <v>838</v>
      </c>
      <c r="AK96" s="29">
        <v>43320.0</v>
      </c>
      <c r="AL96" s="13">
        <v>0.0</v>
      </c>
      <c r="AM96" s="13">
        <v>1.0</v>
      </c>
      <c r="AN96" s="13">
        <v>1.0</v>
      </c>
      <c r="AO96" s="13">
        <v>0.0</v>
      </c>
      <c r="AP96" s="13">
        <v>0.0</v>
      </c>
      <c r="AQ96" s="13">
        <v>0.0</v>
      </c>
      <c r="AR96" s="13">
        <v>0.0</v>
      </c>
      <c r="AS96" s="13">
        <v>1.0</v>
      </c>
      <c r="AT96" s="13">
        <v>0.0</v>
      </c>
      <c r="AU96" s="13">
        <v>1.0</v>
      </c>
      <c r="AV96" s="13">
        <v>4.0</v>
      </c>
      <c r="AW96" s="13">
        <v>20.0</v>
      </c>
      <c r="AX96" s="13">
        <v>20.0</v>
      </c>
    </row>
    <row r="97">
      <c r="A97" s="10" t="s">
        <v>27</v>
      </c>
      <c r="B97" s="10" t="s">
        <v>905</v>
      </c>
      <c r="C97" s="29">
        <v>44671.0</v>
      </c>
      <c r="D97" s="13">
        <v>0.0</v>
      </c>
      <c r="E97" s="13">
        <v>1.0</v>
      </c>
      <c r="F97" s="13">
        <v>1.0</v>
      </c>
      <c r="G97" s="13">
        <v>0.0</v>
      </c>
      <c r="H97" s="13">
        <v>0.0</v>
      </c>
      <c r="I97" s="13">
        <v>0.0</v>
      </c>
      <c r="J97" s="13">
        <v>1.0</v>
      </c>
      <c r="K97" s="13">
        <v>1.0</v>
      </c>
      <c r="L97" s="13">
        <v>0.0</v>
      </c>
      <c r="M97" s="13">
        <v>1.0</v>
      </c>
      <c r="N97" s="13">
        <v>5.0</v>
      </c>
      <c r="O97" s="13">
        <v>93.0</v>
      </c>
      <c r="P97" s="13">
        <v>93.0</v>
      </c>
      <c r="Q97" s="10"/>
      <c r="R97" s="27" t="s">
        <v>35</v>
      </c>
      <c r="S97" s="27" t="s">
        <v>906</v>
      </c>
      <c r="T97" s="30">
        <v>42799.0</v>
      </c>
      <c r="U97" s="31">
        <v>0.0</v>
      </c>
      <c r="V97" s="31">
        <v>1.0</v>
      </c>
      <c r="W97" s="31">
        <v>1.0</v>
      </c>
      <c r="X97" s="31">
        <v>0.0</v>
      </c>
      <c r="Y97" s="31">
        <v>0.0</v>
      </c>
      <c r="Z97" s="31">
        <v>0.0</v>
      </c>
      <c r="AA97" s="31">
        <v>1.0</v>
      </c>
      <c r="AB97" s="31">
        <v>1.0</v>
      </c>
      <c r="AC97" s="31">
        <v>0.0</v>
      </c>
      <c r="AD97" s="31">
        <v>1.0</v>
      </c>
      <c r="AE97" s="31">
        <v>5.0</v>
      </c>
      <c r="AF97" s="31">
        <v>1.0</v>
      </c>
      <c r="AG97" s="31">
        <v>1.0</v>
      </c>
      <c r="AH97" s="13"/>
      <c r="AI97" s="10" t="s">
        <v>43</v>
      </c>
      <c r="AJ97" s="10" t="s">
        <v>840</v>
      </c>
      <c r="AK97" s="29">
        <v>43320.0</v>
      </c>
      <c r="AL97" s="13">
        <v>0.0</v>
      </c>
      <c r="AM97" s="13">
        <v>1.0</v>
      </c>
      <c r="AN97" s="13">
        <v>1.0</v>
      </c>
      <c r="AO97" s="13">
        <v>0.0</v>
      </c>
      <c r="AP97" s="13">
        <v>0.0</v>
      </c>
      <c r="AQ97" s="13">
        <v>0.0</v>
      </c>
      <c r="AR97" s="13">
        <v>0.0</v>
      </c>
      <c r="AS97" s="13">
        <v>1.0</v>
      </c>
      <c r="AT97" s="13">
        <v>0.0</v>
      </c>
      <c r="AU97" s="13">
        <v>1.0</v>
      </c>
      <c r="AV97" s="13">
        <v>4.0</v>
      </c>
      <c r="AW97" s="13">
        <v>20.0</v>
      </c>
      <c r="AX97" s="13">
        <v>20.0</v>
      </c>
    </row>
    <row r="98">
      <c r="A98" s="10" t="s">
        <v>27</v>
      </c>
      <c r="B98" s="10" t="s">
        <v>907</v>
      </c>
      <c r="C98" s="29">
        <v>44705.0</v>
      </c>
      <c r="D98" s="13">
        <v>0.0</v>
      </c>
      <c r="E98" s="13">
        <v>1.0</v>
      </c>
      <c r="F98" s="13">
        <v>1.0</v>
      </c>
      <c r="G98" s="13">
        <v>1.0</v>
      </c>
      <c r="H98" s="13">
        <v>0.0</v>
      </c>
      <c r="I98" s="13">
        <v>0.0</v>
      </c>
      <c r="J98" s="13">
        <v>1.0</v>
      </c>
      <c r="K98" s="13">
        <v>1.0</v>
      </c>
      <c r="L98" s="13">
        <v>0.0</v>
      </c>
      <c r="M98" s="13">
        <v>1.0</v>
      </c>
      <c r="N98" s="13">
        <v>6.0</v>
      </c>
      <c r="O98" s="13">
        <v>100.0</v>
      </c>
      <c r="P98" s="13">
        <v>100.0</v>
      </c>
      <c r="Q98" s="10"/>
      <c r="R98" s="27" t="s">
        <v>35</v>
      </c>
      <c r="S98" s="27" t="s">
        <v>908</v>
      </c>
      <c r="T98" s="30">
        <v>42815.0</v>
      </c>
      <c r="U98" s="31">
        <v>1.0</v>
      </c>
      <c r="V98" s="31">
        <v>1.0</v>
      </c>
      <c r="W98" s="31">
        <v>1.0</v>
      </c>
      <c r="X98" s="31">
        <v>1.0</v>
      </c>
      <c r="Y98" s="31">
        <v>0.0</v>
      </c>
      <c r="Z98" s="31">
        <v>1.0</v>
      </c>
      <c r="AA98" s="31">
        <v>1.0</v>
      </c>
      <c r="AB98" s="31">
        <v>1.0</v>
      </c>
      <c r="AC98" s="31">
        <v>0.0</v>
      </c>
      <c r="AD98" s="31">
        <v>1.0</v>
      </c>
      <c r="AE98" s="31">
        <v>8.0</v>
      </c>
      <c r="AF98" s="31">
        <v>1.0</v>
      </c>
      <c r="AG98" s="31">
        <v>1.0</v>
      </c>
      <c r="AH98" s="13"/>
      <c r="AI98" s="10" t="s">
        <v>43</v>
      </c>
      <c r="AJ98" s="10" t="s">
        <v>909</v>
      </c>
      <c r="AK98" s="29">
        <v>43320.0</v>
      </c>
      <c r="AL98" s="13">
        <v>0.0</v>
      </c>
      <c r="AM98" s="13">
        <v>1.0</v>
      </c>
      <c r="AN98" s="13">
        <v>1.0</v>
      </c>
      <c r="AO98" s="13">
        <v>0.0</v>
      </c>
      <c r="AP98" s="13">
        <v>0.0</v>
      </c>
      <c r="AQ98" s="13">
        <v>0.0</v>
      </c>
      <c r="AR98" s="13">
        <v>0.0</v>
      </c>
      <c r="AS98" s="13">
        <v>1.0</v>
      </c>
      <c r="AT98" s="13">
        <v>0.0</v>
      </c>
      <c r="AU98" s="13">
        <v>1.0</v>
      </c>
      <c r="AV98" s="13">
        <v>4.0</v>
      </c>
      <c r="AW98" s="13">
        <v>20.0</v>
      </c>
      <c r="AX98" s="13">
        <v>20.0</v>
      </c>
    </row>
    <row r="99">
      <c r="A99" s="10" t="s">
        <v>27</v>
      </c>
      <c r="B99" s="10" t="s">
        <v>910</v>
      </c>
      <c r="C99" s="29">
        <v>44777.0</v>
      </c>
      <c r="D99" s="13">
        <v>1.0</v>
      </c>
      <c r="E99" s="13">
        <v>1.0</v>
      </c>
      <c r="F99" s="13">
        <v>1.0</v>
      </c>
      <c r="G99" s="13">
        <v>1.0</v>
      </c>
      <c r="H99" s="13">
        <v>0.0</v>
      </c>
      <c r="I99" s="13">
        <v>0.0</v>
      </c>
      <c r="J99" s="13">
        <v>1.0</v>
      </c>
      <c r="K99" s="13">
        <v>1.0</v>
      </c>
      <c r="L99" s="13">
        <v>0.0</v>
      </c>
      <c r="M99" s="13">
        <v>1.0</v>
      </c>
      <c r="N99" s="13">
        <v>7.0</v>
      </c>
      <c r="O99" s="13">
        <v>110.0</v>
      </c>
      <c r="P99" s="13">
        <v>110.0</v>
      </c>
      <c r="Q99" s="10"/>
      <c r="R99" s="27" t="s">
        <v>35</v>
      </c>
      <c r="S99" s="27" t="s">
        <v>911</v>
      </c>
      <c r="T99" s="30">
        <v>42815.0</v>
      </c>
      <c r="U99" s="31">
        <v>1.0</v>
      </c>
      <c r="V99" s="31">
        <v>1.0</v>
      </c>
      <c r="W99" s="31">
        <v>1.0</v>
      </c>
      <c r="X99" s="31">
        <v>1.0</v>
      </c>
      <c r="Y99" s="31">
        <v>0.0</v>
      </c>
      <c r="Z99" s="31">
        <v>1.0</v>
      </c>
      <c r="AA99" s="31">
        <v>1.0</v>
      </c>
      <c r="AB99" s="31">
        <v>1.0</v>
      </c>
      <c r="AC99" s="31">
        <v>0.0</v>
      </c>
      <c r="AD99" s="31">
        <v>1.0</v>
      </c>
      <c r="AE99" s="31">
        <v>8.0</v>
      </c>
      <c r="AF99" s="31">
        <v>1.0</v>
      </c>
      <c r="AG99" s="31">
        <v>1.0</v>
      </c>
      <c r="AH99" s="13"/>
      <c r="AI99" s="10" t="s">
        <v>43</v>
      </c>
      <c r="AJ99" s="10" t="s">
        <v>912</v>
      </c>
      <c r="AK99" s="29">
        <v>43321.0</v>
      </c>
      <c r="AL99" s="13">
        <v>0.0</v>
      </c>
      <c r="AM99" s="13">
        <v>1.0</v>
      </c>
      <c r="AN99" s="13">
        <v>1.0</v>
      </c>
      <c r="AO99" s="13">
        <v>0.0</v>
      </c>
      <c r="AP99" s="13">
        <v>0.0</v>
      </c>
      <c r="AQ99" s="13">
        <v>0.0</v>
      </c>
      <c r="AR99" s="13">
        <v>1.0</v>
      </c>
      <c r="AS99" s="13">
        <v>1.0</v>
      </c>
      <c r="AT99" s="13">
        <v>0.0</v>
      </c>
      <c r="AU99" s="13">
        <v>1.0</v>
      </c>
      <c r="AV99" s="13">
        <v>5.0</v>
      </c>
      <c r="AW99" s="13">
        <v>20.0</v>
      </c>
      <c r="AX99" s="13">
        <v>20.0</v>
      </c>
    </row>
    <row r="100">
      <c r="A100" s="10" t="s">
        <v>27</v>
      </c>
      <c r="B100" s="10" t="s">
        <v>913</v>
      </c>
      <c r="C100" s="29">
        <v>44957.0</v>
      </c>
      <c r="D100" s="13">
        <v>0.0</v>
      </c>
      <c r="E100" s="13">
        <v>1.0</v>
      </c>
      <c r="F100" s="13">
        <v>1.0</v>
      </c>
      <c r="G100" s="13">
        <v>0.0</v>
      </c>
      <c r="H100" s="13">
        <v>0.0</v>
      </c>
      <c r="I100" s="13">
        <v>0.0</v>
      </c>
      <c r="J100" s="13">
        <v>1.0</v>
      </c>
      <c r="K100" s="13">
        <v>1.0</v>
      </c>
      <c r="L100" s="13">
        <v>0.0</v>
      </c>
      <c r="M100" s="13">
        <v>1.0</v>
      </c>
      <c r="N100" s="13">
        <v>5.0</v>
      </c>
      <c r="O100" s="13">
        <v>120.0</v>
      </c>
      <c r="P100" s="13">
        <v>120.0</v>
      </c>
      <c r="Q100" s="10"/>
      <c r="R100" s="27" t="s">
        <v>35</v>
      </c>
      <c r="S100" s="27" t="s">
        <v>914</v>
      </c>
      <c r="T100" s="30">
        <v>43048.0</v>
      </c>
      <c r="U100" s="31">
        <v>1.0</v>
      </c>
      <c r="V100" s="31">
        <v>1.0</v>
      </c>
      <c r="W100" s="31">
        <v>1.0</v>
      </c>
      <c r="X100" s="31">
        <v>1.0</v>
      </c>
      <c r="Y100" s="31">
        <v>0.0</v>
      </c>
      <c r="Z100" s="31">
        <v>0.0</v>
      </c>
      <c r="AA100" s="31">
        <v>1.0</v>
      </c>
      <c r="AB100" s="31">
        <v>1.0</v>
      </c>
      <c r="AC100" s="31">
        <v>0.0</v>
      </c>
      <c r="AD100" s="31">
        <v>1.0</v>
      </c>
      <c r="AE100" s="31">
        <v>7.0</v>
      </c>
      <c r="AF100" s="31">
        <v>1.0</v>
      </c>
      <c r="AG100" s="31">
        <v>1.0</v>
      </c>
      <c r="AH100" s="13"/>
      <c r="AI100" s="10" t="s">
        <v>43</v>
      </c>
      <c r="AJ100" s="10" t="s">
        <v>915</v>
      </c>
      <c r="AK100" s="29">
        <v>43328.0</v>
      </c>
      <c r="AL100" s="13">
        <v>0.0</v>
      </c>
      <c r="AM100" s="13">
        <v>1.0</v>
      </c>
      <c r="AN100" s="13">
        <v>1.0</v>
      </c>
      <c r="AO100" s="13">
        <v>0.0</v>
      </c>
      <c r="AP100" s="13">
        <v>0.0</v>
      </c>
      <c r="AQ100" s="13">
        <v>0.0</v>
      </c>
      <c r="AR100" s="13">
        <v>1.0</v>
      </c>
      <c r="AS100" s="13">
        <v>1.0</v>
      </c>
      <c r="AT100" s="13">
        <v>0.0</v>
      </c>
      <c r="AU100" s="13">
        <v>1.0</v>
      </c>
      <c r="AV100" s="13">
        <v>5.0</v>
      </c>
      <c r="AW100" s="13">
        <v>21.0</v>
      </c>
      <c r="AX100" s="13">
        <v>21.0</v>
      </c>
    </row>
    <row r="101">
      <c r="A101" s="10" t="s">
        <v>27</v>
      </c>
      <c r="B101" s="10" t="s">
        <v>916</v>
      </c>
      <c r="C101" s="29">
        <v>44979.0</v>
      </c>
      <c r="D101" s="13">
        <v>0.0</v>
      </c>
      <c r="E101" s="13">
        <v>1.0</v>
      </c>
      <c r="F101" s="13">
        <v>1.0</v>
      </c>
      <c r="G101" s="13">
        <v>1.0</v>
      </c>
      <c r="H101" s="13">
        <v>0.0</v>
      </c>
      <c r="I101" s="13">
        <v>0.0</v>
      </c>
      <c r="J101" s="13">
        <v>1.0</v>
      </c>
      <c r="K101" s="13">
        <v>1.0</v>
      </c>
      <c r="L101" s="13">
        <v>0.0</v>
      </c>
      <c r="M101" s="13">
        <v>1.0</v>
      </c>
      <c r="N101" s="13">
        <v>6.0</v>
      </c>
      <c r="O101" s="13">
        <v>120.0</v>
      </c>
      <c r="P101" s="13">
        <v>120.0</v>
      </c>
      <c r="Q101" s="10"/>
      <c r="R101" s="27" t="s">
        <v>35</v>
      </c>
      <c r="S101" s="27" t="s">
        <v>917</v>
      </c>
      <c r="T101" s="30">
        <v>43120.0</v>
      </c>
      <c r="U101" s="31">
        <v>1.0</v>
      </c>
      <c r="V101" s="31">
        <v>1.0</v>
      </c>
      <c r="W101" s="31">
        <v>1.0</v>
      </c>
      <c r="X101" s="31">
        <v>1.0</v>
      </c>
      <c r="Y101" s="31">
        <v>0.0</v>
      </c>
      <c r="Z101" s="31">
        <v>0.0</v>
      </c>
      <c r="AA101" s="31">
        <v>1.0</v>
      </c>
      <c r="AB101" s="31">
        <v>1.0</v>
      </c>
      <c r="AC101" s="31">
        <v>0.0</v>
      </c>
      <c r="AD101" s="31">
        <v>1.0</v>
      </c>
      <c r="AE101" s="31">
        <v>7.0</v>
      </c>
      <c r="AF101" s="31">
        <v>1.0</v>
      </c>
      <c r="AG101" s="31">
        <v>1.0</v>
      </c>
      <c r="AH101" s="13"/>
      <c r="AI101" s="10" t="s">
        <v>43</v>
      </c>
      <c r="AJ101" s="10" t="s">
        <v>918</v>
      </c>
      <c r="AK101" s="29">
        <v>43328.0</v>
      </c>
      <c r="AL101" s="13">
        <v>0.0</v>
      </c>
      <c r="AM101" s="13">
        <v>1.0</v>
      </c>
      <c r="AN101" s="13">
        <v>1.0</v>
      </c>
      <c r="AO101" s="13">
        <v>0.0</v>
      </c>
      <c r="AP101" s="13">
        <v>0.0</v>
      </c>
      <c r="AQ101" s="13">
        <v>0.0</v>
      </c>
      <c r="AR101" s="13">
        <v>1.0</v>
      </c>
      <c r="AS101" s="13">
        <v>1.0</v>
      </c>
      <c r="AT101" s="13">
        <v>0.0</v>
      </c>
      <c r="AU101" s="13">
        <v>1.0</v>
      </c>
      <c r="AV101" s="13">
        <v>5.0</v>
      </c>
      <c r="AW101" s="13">
        <v>21.0</v>
      </c>
      <c r="AX101" s="13">
        <v>21.0</v>
      </c>
    </row>
    <row r="102">
      <c r="A102" s="10" t="s">
        <v>27</v>
      </c>
      <c r="B102" s="10" t="s">
        <v>919</v>
      </c>
      <c r="C102" s="29">
        <v>45341.0</v>
      </c>
      <c r="D102" s="13">
        <v>1.0</v>
      </c>
      <c r="E102" s="13">
        <v>1.0</v>
      </c>
      <c r="F102" s="13">
        <v>1.0</v>
      </c>
      <c r="G102" s="13">
        <v>1.0</v>
      </c>
      <c r="H102" s="13">
        <v>0.0</v>
      </c>
      <c r="I102" s="13">
        <v>0.0</v>
      </c>
      <c r="J102" s="13">
        <v>1.0</v>
      </c>
      <c r="K102" s="13">
        <v>1.0</v>
      </c>
      <c r="L102" s="13">
        <v>0.0</v>
      </c>
      <c r="M102" s="13">
        <v>1.0</v>
      </c>
      <c r="N102" s="13">
        <v>7.0</v>
      </c>
      <c r="O102" s="13">
        <v>138.0</v>
      </c>
      <c r="P102" s="13">
        <v>138.0</v>
      </c>
      <c r="Q102" s="10"/>
      <c r="R102" s="27" t="s">
        <v>35</v>
      </c>
      <c r="S102" s="27" t="s">
        <v>920</v>
      </c>
      <c r="T102" s="30">
        <v>43217.0</v>
      </c>
      <c r="U102" s="31">
        <v>1.0</v>
      </c>
      <c r="V102" s="31">
        <v>1.0</v>
      </c>
      <c r="W102" s="31">
        <v>1.0</v>
      </c>
      <c r="X102" s="31">
        <v>1.0</v>
      </c>
      <c r="Y102" s="31">
        <v>0.0</v>
      </c>
      <c r="Z102" s="31">
        <v>1.0</v>
      </c>
      <c r="AA102" s="31">
        <v>1.0</v>
      </c>
      <c r="AB102" s="31">
        <v>1.0</v>
      </c>
      <c r="AC102" s="31">
        <v>0.0</v>
      </c>
      <c r="AD102" s="31">
        <v>1.0</v>
      </c>
      <c r="AE102" s="31">
        <v>8.0</v>
      </c>
      <c r="AF102" s="31">
        <v>2.0</v>
      </c>
      <c r="AG102" s="31">
        <v>2.0</v>
      </c>
      <c r="AH102" s="13"/>
      <c r="AI102" s="10" t="s">
        <v>43</v>
      </c>
      <c r="AJ102" s="10" t="s">
        <v>921</v>
      </c>
      <c r="AK102" s="29">
        <v>43336.0</v>
      </c>
      <c r="AL102" s="13">
        <v>1.0</v>
      </c>
      <c r="AM102" s="13">
        <v>1.0</v>
      </c>
      <c r="AN102" s="13">
        <v>1.0</v>
      </c>
      <c r="AO102" s="13">
        <v>1.0</v>
      </c>
      <c r="AP102" s="13">
        <v>0.0</v>
      </c>
      <c r="AQ102" s="13">
        <v>0.0</v>
      </c>
      <c r="AR102" s="13">
        <v>1.0</v>
      </c>
      <c r="AS102" s="13">
        <v>1.0</v>
      </c>
      <c r="AT102" s="13">
        <v>0.0</v>
      </c>
      <c r="AU102" s="13">
        <v>1.0</v>
      </c>
      <c r="AV102" s="13">
        <v>7.0</v>
      </c>
      <c r="AW102" s="13">
        <v>21.0</v>
      </c>
      <c r="AX102" s="13">
        <v>21.0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7" t="s">
        <v>35</v>
      </c>
      <c r="S103" s="27" t="s">
        <v>922</v>
      </c>
      <c r="T103" s="30">
        <v>43299.0</v>
      </c>
      <c r="U103" s="31">
        <v>0.0</v>
      </c>
      <c r="V103" s="31">
        <v>1.0</v>
      </c>
      <c r="W103" s="31">
        <v>1.0</v>
      </c>
      <c r="X103" s="31">
        <v>0.0</v>
      </c>
      <c r="Y103" s="31">
        <v>0.0</v>
      </c>
      <c r="Z103" s="31">
        <v>0.0</v>
      </c>
      <c r="AA103" s="31">
        <v>0.0</v>
      </c>
      <c r="AB103" s="31">
        <v>1.0</v>
      </c>
      <c r="AC103" s="31">
        <v>0.0</v>
      </c>
      <c r="AD103" s="31">
        <v>1.0</v>
      </c>
      <c r="AE103" s="31">
        <v>4.0</v>
      </c>
      <c r="AF103" s="31">
        <v>2.0</v>
      </c>
      <c r="AG103" s="31">
        <v>2.0</v>
      </c>
      <c r="AH103" s="13"/>
      <c r="AI103" s="10" t="s">
        <v>43</v>
      </c>
      <c r="AJ103" s="10" t="s">
        <v>923</v>
      </c>
      <c r="AK103" s="29">
        <v>43411.0</v>
      </c>
      <c r="AL103" s="13">
        <v>0.0</v>
      </c>
      <c r="AM103" s="13">
        <v>1.0</v>
      </c>
      <c r="AN103" s="13">
        <v>1.0</v>
      </c>
      <c r="AO103" s="13">
        <v>0.0</v>
      </c>
      <c r="AP103" s="13">
        <v>0.0</v>
      </c>
      <c r="AQ103" s="13">
        <v>0.0</v>
      </c>
      <c r="AR103" s="13">
        <v>0.0</v>
      </c>
      <c r="AS103" s="13">
        <v>1.0</v>
      </c>
      <c r="AT103" s="13">
        <v>0.0</v>
      </c>
      <c r="AU103" s="13">
        <v>1.0</v>
      </c>
      <c r="AV103" s="13">
        <v>4.0</v>
      </c>
      <c r="AW103" s="13">
        <v>21.0</v>
      </c>
      <c r="AX103" s="13">
        <v>21.0</v>
      </c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7" t="s">
        <v>35</v>
      </c>
      <c r="S104" s="27" t="s">
        <v>924</v>
      </c>
      <c r="T104" s="30">
        <v>43302.0</v>
      </c>
      <c r="U104" s="31">
        <v>0.0</v>
      </c>
      <c r="V104" s="31">
        <v>1.0</v>
      </c>
      <c r="W104" s="31">
        <v>1.0</v>
      </c>
      <c r="X104" s="31">
        <v>0.0</v>
      </c>
      <c r="Y104" s="31">
        <v>0.0</v>
      </c>
      <c r="Z104" s="31">
        <v>0.0</v>
      </c>
      <c r="AA104" s="31">
        <v>1.0</v>
      </c>
      <c r="AB104" s="31">
        <v>1.0</v>
      </c>
      <c r="AC104" s="31">
        <v>0.0</v>
      </c>
      <c r="AD104" s="31">
        <v>1.0</v>
      </c>
      <c r="AE104" s="31">
        <v>5.0</v>
      </c>
      <c r="AF104" s="31">
        <v>2.0</v>
      </c>
      <c r="AG104" s="31">
        <v>2.0</v>
      </c>
      <c r="AH104" s="13"/>
      <c r="AI104" s="10" t="s">
        <v>43</v>
      </c>
      <c r="AJ104" s="10" t="s">
        <v>925</v>
      </c>
      <c r="AK104" s="29">
        <v>43412.0</v>
      </c>
      <c r="AL104" s="13">
        <v>0.0</v>
      </c>
      <c r="AM104" s="13">
        <v>1.0</v>
      </c>
      <c r="AN104" s="13">
        <v>1.0</v>
      </c>
      <c r="AO104" s="13">
        <v>0.0</v>
      </c>
      <c r="AP104" s="13">
        <v>0.0</v>
      </c>
      <c r="AQ104" s="13">
        <v>0.0</v>
      </c>
      <c r="AR104" s="13">
        <v>1.0</v>
      </c>
      <c r="AS104" s="13">
        <v>1.0</v>
      </c>
      <c r="AT104" s="13">
        <v>0.0</v>
      </c>
      <c r="AU104" s="13">
        <v>1.0</v>
      </c>
      <c r="AV104" s="13">
        <v>5.0</v>
      </c>
      <c r="AW104" s="13">
        <v>21.0</v>
      </c>
      <c r="AX104" s="13">
        <v>21.0</v>
      </c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7" t="s">
        <v>35</v>
      </c>
      <c r="S105" s="27" t="s">
        <v>926</v>
      </c>
      <c r="T105" s="30">
        <v>43350.0</v>
      </c>
      <c r="U105" s="31">
        <v>0.0</v>
      </c>
      <c r="V105" s="31">
        <v>1.0</v>
      </c>
      <c r="W105" s="31">
        <v>1.0</v>
      </c>
      <c r="X105" s="31">
        <v>0.0</v>
      </c>
      <c r="Y105" s="31">
        <v>0.0</v>
      </c>
      <c r="Z105" s="31">
        <v>0.0</v>
      </c>
      <c r="AA105" s="31">
        <v>1.0</v>
      </c>
      <c r="AB105" s="31">
        <v>1.0</v>
      </c>
      <c r="AC105" s="31">
        <v>0.0</v>
      </c>
      <c r="AD105" s="31">
        <v>1.0</v>
      </c>
      <c r="AE105" s="31">
        <v>5.0</v>
      </c>
      <c r="AF105" s="31">
        <v>2.0</v>
      </c>
      <c r="AG105" s="31">
        <v>2.0</v>
      </c>
      <c r="AH105" s="13"/>
      <c r="AI105" s="10" t="s">
        <v>43</v>
      </c>
      <c r="AJ105" s="10" t="s">
        <v>927</v>
      </c>
      <c r="AK105" s="29">
        <v>43413.0</v>
      </c>
      <c r="AL105" s="13">
        <v>0.0</v>
      </c>
      <c r="AM105" s="13">
        <v>1.0</v>
      </c>
      <c r="AN105" s="13">
        <v>1.0</v>
      </c>
      <c r="AO105" s="13">
        <v>0.0</v>
      </c>
      <c r="AP105" s="13">
        <v>0.0</v>
      </c>
      <c r="AQ105" s="13">
        <v>0.0</v>
      </c>
      <c r="AR105" s="13">
        <v>1.0</v>
      </c>
      <c r="AS105" s="13">
        <v>1.0</v>
      </c>
      <c r="AT105" s="13">
        <v>0.0</v>
      </c>
      <c r="AU105" s="13">
        <v>1.0</v>
      </c>
      <c r="AV105" s="13">
        <v>5.0</v>
      </c>
      <c r="AW105" s="13">
        <v>21.0</v>
      </c>
      <c r="AX105" s="13">
        <v>21.0</v>
      </c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7" t="s">
        <v>35</v>
      </c>
      <c r="S106" s="27" t="s">
        <v>928</v>
      </c>
      <c r="T106" s="30">
        <v>43351.0</v>
      </c>
      <c r="U106" s="31">
        <v>0.0</v>
      </c>
      <c r="V106" s="31">
        <v>1.0</v>
      </c>
      <c r="W106" s="31">
        <v>1.0</v>
      </c>
      <c r="X106" s="31">
        <v>0.0</v>
      </c>
      <c r="Y106" s="31">
        <v>0.0</v>
      </c>
      <c r="Z106" s="31">
        <v>0.0</v>
      </c>
      <c r="AA106" s="31">
        <v>1.0</v>
      </c>
      <c r="AB106" s="31">
        <v>1.0</v>
      </c>
      <c r="AC106" s="31">
        <v>0.0</v>
      </c>
      <c r="AD106" s="31">
        <v>1.0</v>
      </c>
      <c r="AE106" s="31">
        <v>5.0</v>
      </c>
      <c r="AF106" s="31">
        <v>2.0</v>
      </c>
      <c r="AG106" s="31">
        <v>2.0</v>
      </c>
      <c r="AH106" s="13"/>
      <c r="AI106" s="10" t="s">
        <v>43</v>
      </c>
      <c r="AJ106" s="10" t="s">
        <v>929</v>
      </c>
      <c r="AK106" s="29">
        <v>43446.0</v>
      </c>
      <c r="AL106" s="13">
        <v>0.0</v>
      </c>
      <c r="AM106" s="13">
        <v>1.0</v>
      </c>
      <c r="AN106" s="13">
        <v>1.0</v>
      </c>
      <c r="AO106" s="13">
        <v>0.0</v>
      </c>
      <c r="AP106" s="13">
        <v>0.0</v>
      </c>
      <c r="AQ106" s="13">
        <v>0.0</v>
      </c>
      <c r="AR106" s="13">
        <v>1.0</v>
      </c>
      <c r="AS106" s="13">
        <v>1.0</v>
      </c>
      <c r="AT106" s="13">
        <v>0.0</v>
      </c>
      <c r="AU106" s="13">
        <v>1.0</v>
      </c>
      <c r="AV106" s="13">
        <v>5.0</v>
      </c>
      <c r="AW106" s="13">
        <v>20.0</v>
      </c>
      <c r="AX106" s="13">
        <v>20.0</v>
      </c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7" t="s">
        <v>35</v>
      </c>
      <c r="S107" s="27" t="s">
        <v>930</v>
      </c>
      <c r="T107" s="30">
        <v>43354.0</v>
      </c>
      <c r="U107" s="31">
        <v>1.0</v>
      </c>
      <c r="V107" s="31">
        <v>1.0</v>
      </c>
      <c r="W107" s="31">
        <v>1.0</v>
      </c>
      <c r="X107" s="31">
        <v>1.0</v>
      </c>
      <c r="Y107" s="31">
        <v>0.0</v>
      </c>
      <c r="Z107" s="31">
        <v>0.0</v>
      </c>
      <c r="AA107" s="31">
        <v>1.0</v>
      </c>
      <c r="AB107" s="31">
        <v>1.0</v>
      </c>
      <c r="AC107" s="31">
        <v>0.0</v>
      </c>
      <c r="AD107" s="31">
        <v>1.0</v>
      </c>
      <c r="AE107" s="31">
        <v>7.0</v>
      </c>
      <c r="AF107" s="31">
        <v>2.0</v>
      </c>
      <c r="AG107" s="31">
        <v>2.0</v>
      </c>
      <c r="AH107" s="13"/>
      <c r="AI107" s="10" t="s">
        <v>43</v>
      </c>
      <c r="AJ107" s="10" t="s">
        <v>931</v>
      </c>
      <c r="AK107" s="29">
        <v>43466.0</v>
      </c>
      <c r="AL107" s="13">
        <v>0.0</v>
      </c>
      <c r="AM107" s="13">
        <v>1.0</v>
      </c>
      <c r="AN107" s="13">
        <v>1.0</v>
      </c>
      <c r="AO107" s="13">
        <v>0.0</v>
      </c>
      <c r="AP107" s="13">
        <v>0.0</v>
      </c>
      <c r="AQ107" s="13">
        <v>0.0</v>
      </c>
      <c r="AR107" s="13">
        <v>1.0</v>
      </c>
      <c r="AS107" s="13">
        <v>1.0</v>
      </c>
      <c r="AT107" s="13">
        <v>0.0</v>
      </c>
      <c r="AU107" s="13">
        <v>1.0</v>
      </c>
      <c r="AV107" s="13">
        <v>5.0</v>
      </c>
      <c r="AW107" s="13">
        <v>20.0</v>
      </c>
      <c r="AX107" s="13">
        <v>20.0</v>
      </c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7" t="s">
        <v>35</v>
      </c>
      <c r="S108" s="27" t="s">
        <v>932</v>
      </c>
      <c r="T108" s="30">
        <v>43489.0</v>
      </c>
      <c r="U108" s="31">
        <v>0.0</v>
      </c>
      <c r="V108" s="31">
        <v>1.0</v>
      </c>
      <c r="W108" s="31">
        <v>1.0</v>
      </c>
      <c r="X108" s="31">
        <v>0.0</v>
      </c>
      <c r="Y108" s="31">
        <v>0.0</v>
      </c>
      <c r="Z108" s="31">
        <v>0.0</v>
      </c>
      <c r="AA108" s="31">
        <v>1.0</v>
      </c>
      <c r="AB108" s="31">
        <v>1.0</v>
      </c>
      <c r="AC108" s="31">
        <v>0.0</v>
      </c>
      <c r="AD108" s="31">
        <v>1.0</v>
      </c>
      <c r="AE108" s="31">
        <v>5.0</v>
      </c>
      <c r="AF108" s="31">
        <v>3.0</v>
      </c>
      <c r="AG108" s="31">
        <v>3.0</v>
      </c>
      <c r="AH108" s="13"/>
      <c r="AI108" s="10" t="s">
        <v>43</v>
      </c>
      <c r="AJ108" s="10" t="s">
        <v>933</v>
      </c>
      <c r="AK108" s="29">
        <v>43486.0</v>
      </c>
      <c r="AL108" s="13">
        <v>0.0</v>
      </c>
      <c r="AM108" s="13">
        <v>1.0</v>
      </c>
      <c r="AN108" s="13">
        <v>1.0</v>
      </c>
      <c r="AO108" s="13">
        <v>0.0</v>
      </c>
      <c r="AP108" s="13">
        <v>0.0</v>
      </c>
      <c r="AQ108" s="13">
        <v>0.0</v>
      </c>
      <c r="AR108" s="13">
        <v>1.0</v>
      </c>
      <c r="AS108" s="13">
        <v>1.0</v>
      </c>
      <c r="AT108" s="13">
        <v>0.0</v>
      </c>
      <c r="AU108" s="13">
        <v>1.0</v>
      </c>
      <c r="AV108" s="13">
        <v>5.0</v>
      </c>
      <c r="AW108" s="13">
        <v>21.0</v>
      </c>
      <c r="AX108" s="13">
        <v>21.0</v>
      </c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7" t="s">
        <v>35</v>
      </c>
      <c r="S109" s="27" t="s">
        <v>934</v>
      </c>
      <c r="T109" s="30">
        <v>43571.0</v>
      </c>
      <c r="U109" s="31">
        <v>0.0</v>
      </c>
      <c r="V109" s="31">
        <v>1.0</v>
      </c>
      <c r="W109" s="31">
        <v>1.0</v>
      </c>
      <c r="X109" s="31">
        <v>1.0</v>
      </c>
      <c r="Y109" s="31">
        <v>0.0</v>
      </c>
      <c r="Z109" s="31">
        <v>1.0</v>
      </c>
      <c r="AA109" s="31">
        <v>1.0</v>
      </c>
      <c r="AB109" s="31">
        <v>1.0</v>
      </c>
      <c r="AC109" s="31">
        <v>0.0</v>
      </c>
      <c r="AD109" s="31">
        <v>1.0</v>
      </c>
      <c r="AE109" s="31">
        <v>7.0</v>
      </c>
      <c r="AF109" s="31">
        <v>3.0</v>
      </c>
      <c r="AG109" s="31">
        <v>3.0</v>
      </c>
      <c r="AH109" s="13"/>
      <c r="AI109" s="10" t="s">
        <v>43</v>
      </c>
      <c r="AJ109" s="10" t="s">
        <v>935</v>
      </c>
      <c r="AK109" s="29">
        <v>43488.0</v>
      </c>
      <c r="AL109" s="13">
        <v>0.0</v>
      </c>
      <c r="AM109" s="13">
        <v>1.0</v>
      </c>
      <c r="AN109" s="13">
        <v>1.0</v>
      </c>
      <c r="AO109" s="13">
        <v>0.0</v>
      </c>
      <c r="AP109" s="13">
        <v>0.0</v>
      </c>
      <c r="AQ109" s="13">
        <v>0.0</v>
      </c>
      <c r="AR109" s="13">
        <v>1.0</v>
      </c>
      <c r="AS109" s="13">
        <v>1.0</v>
      </c>
      <c r="AT109" s="13">
        <v>0.0</v>
      </c>
      <c r="AU109" s="13">
        <v>1.0</v>
      </c>
      <c r="AV109" s="13">
        <v>5.0</v>
      </c>
      <c r="AW109" s="13">
        <v>21.0</v>
      </c>
      <c r="AX109" s="13">
        <v>21.0</v>
      </c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7" t="s">
        <v>35</v>
      </c>
      <c r="S110" s="27" t="s">
        <v>936</v>
      </c>
      <c r="T110" s="30">
        <v>43746.0</v>
      </c>
      <c r="U110" s="31">
        <v>0.0</v>
      </c>
      <c r="V110" s="31">
        <v>1.0</v>
      </c>
      <c r="W110" s="31">
        <v>1.0</v>
      </c>
      <c r="X110" s="31">
        <v>0.0</v>
      </c>
      <c r="Y110" s="31">
        <v>0.0</v>
      </c>
      <c r="Z110" s="31">
        <v>0.0</v>
      </c>
      <c r="AA110" s="31">
        <v>1.0</v>
      </c>
      <c r="AB110" s="31">
        <v>1.0</v>
      </c>
      <c r="AC110" s="31">
        <v>0.0</v>
      </c>
      <c r="AD110" s="31">
        <v>1.0</v>
      </c>
      <c r="AE110" s="31">
        <v>5.0</v>
      </c>
      <c r="AF110" s="31">
        <v>3.0</v>
      </c>
      <c r="AG110" s="31">
        <v>3.0</v>
      </c>
      <c r="AH110" s="13"/>
      <c r="AI110" s="10" t="s">
        <v>43</v>
      </c>
      <c r="AJ110" s="10" t="s">
        <v>937</v>
      </c>
      <c r="AK110" s="29">
        <v>43488.0</v>
      </c>
      <c r="AL110" s="13">
        <v>0.0</v>
      </c>
      <c r="AM110" s="13">
        <v>1.0</v>
      </c>
      <c r="AN110" s="13">
        <v>1.0</v>
      </c>
      <c r="AO110" s="13">
        <v>0.0</v>
      </c>
      <c r="AP110" s="13">
        <v>0.0</v>
      </c>
      <c r="AQ110" s="13">
        <v>0.0</v>
      </c>
      <c r="AR110" s="13">
        <v>1.0</v>
      </c>
      <c r="AS110" s="13">
        <v>1.0</v>
      </c>
      <c r="AT110" s="13">
        <v>0.0</v>
      </c>
      <c r="AU110" s="13">
        <v>1.0</v>
      </c>
      <c r="AV110" s="13">
        <v>5.0</v>
      </c>
      <c r="AW110" s="13">
        <v>21.0</v>
      </c>
      <c r="AX110" s="13">
        <v>21.0</v>
      </c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7" t="s">
        <v>35</v>
      </c>
      <c r="S111" s="27" t="s">
        <v>938</v>
      </c>
      <c r="T111" s="30">
        <v>43807.0</v>
      </c>
      <c r="U111" s="31">
        <v>1.0</v>
      </c>
      <c r="V111" s="31">
        <v>1.0</v>
      </c>
      <c r="W111" s="31">
        <v>1.0</v>
      </c>
      <c r="X111" s="31">
        <v>1.0</v>
      </c>
      <c r="Y111" s="31">
        <v>0.0</v>
      </c>
      <c r="Z111" s="31">
        <v>0.0</v>
      </c>
      <c r="AA111" s="31">
        <v>1.0</v>
      </c>
      <c r="AB111" s="31">
        <v>1.0</v>
      </c>
      <c r="AC111" s="31">
        <v>0.0</v>
      </c>
      <c r="AD111" s="31">
        <v>1.0</v>
      </c>
      <c r="AE111" s="31">
        <v>7.0</v>
      </c>
      <c r="AF111" s="31">
        <v>3.0</v>
      </c>
      <c r="AG111" s="31">
        <v>3.0</v>
      </c>
      <c r="AH111" s="13"/>
      <c r="AI111" s="10" t="s">
        <v>43</v>
      </c>
      <c r="AJ111" s="10" t="s">
        <v>939</v>
      </c>
      <c r="AK111" s="29">
        <v>43489.0</v>
      </c>
      <c r="AL111" s="13">
        <v>0.0</v>
      </c>
      <c r="AM111" s="13">
        <v>1.0</v>
      </c>
      <c r="AN111" s="13">
        <v>1.0</v>
      </c>
      <c r="AO111" s="13">
        <v>0.0</v>
      </c>
      <c r="AP111" s="13">
        <v>0.0</v>
      </c>
      <c r="AQ111" s="13">
        <v>0.0</v>
      </c>
      <c r="AR111" s="13">
        <v>1.0</v>
      </c>
      <c r="AS111" s="13">
        <v>1.0</v>
      </c>
      <c r="AT111" s="13">
        <v>0.0</v>
      </c>
      <c r="AU111" s="13">
        <v>1.0</v>
      </c>
      <c r="AV111" s="13">
        <v>5.0</v>
      </c>
      <c r="AW111" s="13">
        <v>21.0</v>
      </c>
      <c r="AX111" s="13">
        <v>21.0</v>
      </c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7" t="s">
        <v>35</v>
      </c>
      <c r="S112" s="27" t="s">
        <v>940</v>
      </c>
      <c r="T112" s="30">
        <v>43909.0</v>
      </c>
      <c r="U112" s="31">
        <v>1.0</v>
      </c>
      <c r="V112" s="31">
        <v>1.0</v>
      </c>
      <c r="W112" s="31">
        <v>1.0</v>
      </c>
      <c r="X112" s="31">
        <v>0.0</v>
      </c>
      <c r="Y112" s="31">
        <v>0.0</v>
      </c>
      <c r="Z112" s="31">
        <v>1.0</v>
      </c>
      <c r="AA112" s="31">
        <v>0.0</v>
      </c>
      <c r="AB112" s="31">
        <v>0.0</v>
      </c>
      <c r="AC112" s="31">
        <v>0.0</v>
      </c>
      <c r="AD112" s="31">
        <v>1.0</v>
      </c>
      <c r="AE112" s="31">
        <v>5.0</v>
      </c>
      <c r="AF112" s="31">
        <v>3.0</v>
      </c>
      <c r="AG112" s="31">
        <v>3.0</v>
      </c>
      <c r="AH112" s="13"/>
      <c r="AI112" s="10" t="s">
        <v>43</v>
      </c>
      <c r="AJ112" s="10" t="s">
        <v>941</v>
      </c>
      <c r="AK112" s="29">
        <v>43512.0</v>
      </c>
      <c r="AL112" s="13">
        <v>1.0</v>
      </c>
      <c r="AM112" s="13">
        <v>0.0</v>
      </c>
      <c r="AN112" s="13">
        <v>1.0</v>
      </c>
      <c r="AO112" s="13">
        <v>1.0</v>
      </c>
      <c r="AP112" s="13">
        <v>0.0</v>
      </c>
      <c r="AQ112" s="13">
        <v>0.0</v>
      </c>
      <c r="AR112" s="13">
        <v>1.0</v>
      </c>
      <c r="AS112" s="13">
        <v>1.0</v>
      </c>
      <c r="AT112" s="13">
        <v>0.0</v>
      </c>
      <c r="AU112" s="13">
        <v>1.0</v>
      </c>
      <c r="AV112" s="13">
        <v>6.0</v>
      </c>
      <c r="AW112" s="13">
        <v>21.0</v>
      </c>
      <c r="AX112" s="13">
        <v>21.0</v>
      </c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7" t="s">
        <v>35</v>
      </c>
      <c r="S113" s="27" t="s">
        <v>942</v>
      </c>
      <c r="T113" s="30">
        <v>44600.0</v>
      </c>
      <c r="U113" s="31">
        <v>1.0</v>
      </c>
      <c r="V113" s="31">
        <v>1.0</v>
      </c>
      <c r="W113" s="31">
        <v>1.0</v>
      </c>
      <c r="X113" s="31">
        <v>1.0</v>
      </c>
      <c r="Y113" s="31">
        <v>0.0</v>
      </c>
      <c r="Z113" s="31">
        <v>0.0</v>
      </c>
      <c r="AA113" s="31">
        <v>1.0</v>
      </c>
      <c r="AB113" s="31">
        <v>1.0</v>
      </c>
      <c r="AC113" s="31">
        <v>0.0</v>
      </c>
      <c r="AD113" s="31">
        <v>1.0</v>
      </c>
      <c r="AE113" s="31">
        <v>7.0</v>
      </c>
      <c r="AF113" s="31">
        <v>3.0</v>
      </c>
      <c r="AG113" s="31">
        <v>3.0</v>
      </c>
      <c r="AH113" s="13"/>
      <c r="AI113" s="10" t="s">
        <v>43</v>
      </c>
      <c r="AJ113" s="10" t="s">
        <v>943</v>
      </c>
      <c r="AK113" s="29">
        <v>43512.0</v>
      </c>
      <c r="AL113" s="13">
        <v>1.0</v>
      </c>
      <c r="AM113" s="13">
        <v>0.0</v>
      </c>
      <c r="AN113" s="13">
        <v>1.0</v>
      </c>
      <c r="AO113" s="13">
        <v>1.0</v>
      </c>
      <c r="AP113" s="13">
        <v>0.0</v>
      </c>
      <c r="AQ113" s="13">
        <v>0.0</v>
      </c>
      <c r="AR113" s="13">
        <v>1.0</v>
      </c>
      <c r="AS113" s="13">
        <v>1.0</v>
      </c>
      <c r="AT113" s="13">
        <v>0.0</v>
      </c>
      <c r="AU113" s="13">
        <v>1.0</v>
      </c>
      <c r="AV113" s="13">
        <v>6.0</v>
      </c>
      <c r="AW113" s="13">
        <v>21.0</v>
      </c>
      <c r="AX113" s="13">
        <v>21.0</v>
      </c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7" t="s">
        <v>35</v>
      </c>
      <c r="S114" s="27" t="s">
        <v>944</v>
      </c>
      <c r="T114" s="30">
        <v>44600.0</v>
      </c>
      <c r="U114" s="31">
        <v>1.0</v>
      </c>
      <c r="V114" s="31">
        <v>1.0</v>
      </c>
      <c r="W114" s="31">
        <v>1.0</v>
      </c>
      <c r="X114" s="31">
        <v>1.0</v>
      </c>
      <c r="Y114" s="31">
        <v>0.0</v>
      </c>
      <c r="Z114" s="31">
        <v>0.0</v>
      </c>
      <c r="AA114" s="31">
        <v>1.0</v>
      </c>
      <c r="AB114" s="31">
        <v>1.0</v>
      </c>
      <c r="AC114" s="31">
        <v>0.0</v>
      </c>
      <c r="AD114" s="31">
        <v>1.0</v>
      </c>
      <c r="AE114" s="31">
        <v>7.0</v>
      </c>
      <c r="AF114" s="31">
        <v>3.0</v>
      </c>
      <c r="AG114" s="31">
        <v>3.0</v>
      </c>
      <c r="AH114" s="13"/>
      <c r="AI114" s="10" t="s">
        <v>43</v>
      </c>
      <c r="AJ114" s="10" t="s">
        <v>945</v>
      </c>
      <c r="AK114" s="29">
        <v>43600.0</v>
      </c>
      <c r="AL114" s="13">
        <v>0.0</v>
      </c>
      <c r="AM114" s="13">
        <v>1.0</v>
      </c>
      <c r="AN114" s="13">
        <v>1.0</v>
      </c>
      <c r="AO114" s="13">
        <v>0.0</v>
      </c>
      <c r="AP114" s="13">
        <v>0.0</v>
      </c>
      <c r="AQ114" s="13">
        <v>0.0</v>
      </c>
      <c r="AR114" s="13">
        <v>1.0</v>
      </c>
      <c r="AS114" s="13">
        <v>1.0</v>
      </c>
      <c r="AT114" s="13">
        <v>0.0</v>
      </c>
      <c r="AU114" s="13">
        <v>1.0</v>
      </c>
      <c r="AV114" s="13">
        <v>5.0</v>
      </c>
      <c r="AW114" s="13">
        <v>20.0</v>
      </c>
      <c r="AX114" s="13">
        <v>20.0</v>
      </c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7" t="s">
        <v>35</v>
      </c>
      <c r="S115" s="27" t="s">
        <v>946</v>
      </c>
      <c r="T115" s="30">
        <v>44600.0</v>
      </c>
      <c r="U115" s="31">
        <v>1.0</v>
      </c>
      <c r="V115" s="31">
        <v>1.0</v>
      </c>
      <c r="W115" s="31">
        <v>1.0</v>
      </c>
      <c r="X115" s="31">
        <v>1.0</v>
      </c>
      <c r="Y115" s="31">
        <v>0.0</v>
      </c>
      <c r="Z115" s="31">
        <v>0.0</v>
      </c>
      <c r="AA115" s="31">
        <v>1.0</v>
      </c>
      <c r="AB115" s="31">
        <v>1.0</v>
      </c>
      <c r="AC115" s="31">
        <v>0.0</v>
      </c>
      <c r="AD115" s="31">
        <v>1.0</v>
      </c>
      <c r="AE115" s="31">
        <v>7.0</v>
      </c>
      <c r="AF115" s="31">
        <v>3.0</v>
      </c>
      <c r="AG115" s="31">
        <v>3.0</v>
      </c>
      <c r="AH115" s="13"/>
      <c r="AI115" s="10" t="s">
        <v>43</v>
      </c>
      <c r="AJ115" s="10" t="s">
        <v>947</v>
      </c>
      <c r="AK115" s="29">
        <v>43635.0</v>
      </c>
      <c r="AL115" s="13">
        <v>1.0</v>
      </c>
      <c r="AM115" s="13">
        <v>0.0</v>
      </c>
      <c r="AN115" s="13">
        <v>1.0</v>
      </c>
      <c r="AO115" s="13">
        <v>0.0</v>
      </c>
      <c r="AP115" s="13">
        <v>1.0</v>
      </c>
      <c r="AQ115" s="13">
        <v>0.0</v>
      </c>
      <c r="AR115" s="13">
        <v>0.0</v>
      </c>
      <c r="AS115" s="13">
        <v>1.0</v>
      </c>
      <c r="AT115" s="13">
        <v>0.0</v>
      </c>
      <c r="AU115" s="13">
        <v>1.0</v>
      </c>
      <c r="AV115" s="13">
        <v>5.0</v>
      </c>
      <c r="AW115" s="13">
        <v>20.0</v>
      </c>
      <c r="AX115" s="13">
        <v>20.0</v>
      </c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7" t="s">
        <v>35</v>
      </c>
      <c r="S116" s="27" t="s">
        <v>948</v>
      </c>
      <c r="T116" s="30">
        <v>44865.0</v>
      </c>
      <c r="U116" s="31">
        <v>0.0</v>
      </c>
      <c r="V116" s="31">
        <v>1.0</v>
      </c>
      <c r="W116" s="31">
        <v>1.0</v>
      </c>
      <c r="X116" s="31">
        <v>1.0</v>
      </c>
      <c r="Y116" s="31">
        <v>0.0</v>
      </c>
      <c r="Z116" s="31">
        <v>1.0</v>
      </c>
      <c r="AA116" s="31">
        <v>1.0</v>
      </c>
      <c r="AB116" s="31">
        <v>1.0</v>
      </c>
      <c r="AC116" s="31">
        <v>0.0</v>
      </c>
      <c r="AD116" s="31">
        <v>1.0</v>
      </c>
      <c r="AE116" s="31">
        <v>7.0</v>
      </c>
      <c r="AF116" s="31">
        <v>3.0</v>
      </c>
      <c r="AG116" s="31">
        <v>3.0</v>
      </c>
      <c r="AH116" s="13"/>
      <c r="AI116" s="10" t="s">
        <v>43</v>
      </c>
      <c r="AJ116" s="10" t="s">
        <v>949</v>
      </c>
      <c r="AK116" s="29">
        <v>43635.0</v>
      </c>
      <c r="AL116" s="13">
        <v>1.0</v>
      </c>
      <c r="AM116" s="13">
        <v>0.0</v>
      </c>
      <c r="AN116" s="13">
        <v>1.0</v>
      </c>
      <c r="AO116" s="13">
        <v>0.0</v>
      </c>
      <c r="AP116" s="13">
        <v>1.0</v>
      </c>
      <c r="AQ116" s="13">
        <v>0.0</v>
      </c>
      <c r="AR116" s="13">
        <v>0.0</v>
      </c>
      <c r="AS116" s="13">
        <v>1.0</v>
      </c>
      <c r="AT116" s="13">
        <v>0.0</v>
      </c>
      <c r="AU116" s="13">
        <v>1.0</v>
      </c>
      <c r="AV116" s="13">
        <v>5.0</v>
      </c>
      <c r="AW116" s="13">
        <v>20.0</v>
      </c>
      <c r="AX116" s="13">
        <v>20.0</v>
      </c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7" t="s">
        <v>35</v>
      </c>
      <c r="S117" s="27" t="s">
        <v>950</v>
      </c>
      <c r="T117" s="30">
        <v>44865.0</v>
      </c>
      <c r="U117" s="31">
        <v>0.0</v>
      </c>
      <c r="V117" s="31">
        <v>1.0</v>
      </c>
      <c r="W117" s="31">
        <v>1.0</v>
      </c>
      <c r="X117" s="31">
        <v>1.0</v>
      </c>
      <c r="Y117" s="31">
        <v>0.0</v>
      </c>
      <c r="Z117" s="31">
        <v>1.0</v>
      </c>
      <c r="AA117" s="31">
        <v>1.0</v>
      </c>
      <c r="AB117" s="31">
        <v>1.0</v>
      </c>
      <c r="AC117" s="31">
        <v>0.0</v>
      </c>
      <c r="AD117" s="31">
        <v>1.0</v>
      </c>
      <c r="AE117" s="31">
        <v>7.0</v>
      </c>
      <c r="AF117" s="31">
        <v>3.0</v>
      </c>
      <c r="AG117" s="31">
        <v>3.0</v>
      </c>
      <c r="AH117" s="13"/>
      <c r="AI117" s="10" t="s">
        <v>43</v>
      </c>
      <c r="AJ117" s="10" t="s">
        <v>951</v>
      </c>
      <c r="AK117" s="29">
        <v>43708.0</v>
      </c>
      <c r="AL117" s="13">
        <v>0.0</v>
      </c>
      <c r="AM117" s="13">
        <v>1.0</v>
      </c>
      <c r="AN117" s="13">
        <v>1.0</v>
      </c>
      <c r="AO117" s="13">
        <v>0.0</v>
      </c>
      <c r="AP117" s="13">
        <v>0.0</v>
      </c>
      <c r="AQ117" s="13">
        <v>0.0</v>
      </c>
      <c r="AR117" s="13">
        <v>1.0</v>
      </c>
      <c r="AS117" s="13">
        <v>1.0</v>
      </c>
      <c r="AT117" s="13">
        <v>0.0</v>
      </c>
      <c r="AU117" s="13">
        <v>1.0</v>
      </c>
      <c r="AV117" s="13">
        <v>5.0</v>
      </c>
      <c r="AW117" s="13">
        <v>26.0</v>
      </c>
      <c r="AX117" s="13">
        <v>26.0</v>
      </c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7" t="s">
        <v>35</v>
      </c>
      <c r="S118" s="27" t="s">
        <v>952</v>
      </c>
      <c r="T118" s="30">
        <v>45124.0</v>
      </c>
      <c r="U118" s="31">
        <v>0.0</v>
      </c>
      <c r="V118" s="31">
        <v>1.0</v>
      </c>
      <c r="W118" s="31">
        <v>1.0</v>
      </c>
      <c r="X118" s="31">
        <v>0.0</v>
      </c>
      <c r="Y118" s="31">
        <v>0.0</v>
      </c>
      <c r="Z118" s="31">
        <v>0.0</v>
      </c>
      <c r="AA118" s="31">
        <v>0.0</v>
      </c>
      <c r="AB118" s="31">
        <v>1.0</v>
      </c>
      <c r="AC118" s="31">
        <v>0.0</v>
      </c>
      <c r="AD118" s="31">
        <v>1.0</v>
      </c>
      <c r="AE118" s="31">
        <v>4.0</v>
      </c>
      <c r="AF118" s="31">
        <v>3.0</v>
      </c>
      <c r="AG118" s="31">
        <v>3.0</v>
      </c>
      <c r="AH118" s="13"/>
      <c r="AI118" s="10" t="s">
        <v>43</v>
      </c>
      <c r="AJ118" s="10" t="s">
        <v>953</v>
      </c>
      <c r="AK118" s="29">
        <v>43717.0</v>
      </c>
      <c r="AL118" s="13">
        <v>0.0</v>
      </c>
      <c r="AM118" s="13">
        <v>1.0</v>
      </c>
      <c r="AN118" s="13">
        <v>1.0</v>
      </c>
      <c r="AO118" s="13">
        <v>0.0</v>
      </c>
      <c r="AP118" s="13">
        <v>0.0</v>
      </c>
      <c r="AQ118" s="13">
        <v>0.0</v>
      </c>
      <c r="AR118" s="13">
        <v>1.0</v>
      </c>
      <c r="AS118" s="13">
        <v>1.0</v>
      </c>
      <c r="AT118" s="13">
        <v>0.0</v>
      </c>
      <c r="AU118" s="13">
        <v>1.0</v>
      </c>
      <c r="AV118" s="13">
        <v>5.0</v>
      </c>
      <c r="AW118" s="13">
        <v>26.0</v>
      </c>
      <c r="AX118" s="13">
        <v>26.0</v>
      </c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7" t="s">
        <v>35</v>
      </c>
      <c r="S119" s="27" t="s">
        <v>954</v>
      </c>
      <c r="T119" s="30">
        <v>45124.0</v>
      </c>
      <c r="U119" s="31">
        <v>0.0</v>
      </c>
      <c r="V119" s="31">
        <v>1.0</v>
      </c>
      <c r="W119" s="31">
        <v>1.0</v>
      </c>
      <c r="X119" s="31">
        <v>0.0</v>
      </c>
      <c r="Y119" s="31">
        <v>0.0</v>
      </c>
      <c r="Z119" s="31">
        <v>0.0</v>
      </c>
      <c r="AA119" s="31">
        <v>0.0</v>
      </c>
      <c r="AB119" s="31">
        <v>1.0</v>
      </c>
      <c r="AC119" s="31">
        <v>0.0</v>
      </c>
      <c r="AD119" s="31">
        <v>1.0</v>
      </c>
      <c r="AE119" s="31">
        <v>4.0</v>
      </c>
      <c r="AF119" s="31">
        <v>3.0</v>
      </c>
      <c r="AG119" s="31">
        <v>3.0</v>
      </c>
      <c r="AH119" s="13"/>
      <c r="AI119" s="10" t="s">
        <v>43</v>
      </c>
      <c r="AJ119" s="10" t="s">
        <v>955</v>
      </c>
      <c r="AK119" s="29">
        <v>43747.0</v>
      </c>
      <c r="AL119" s="13">
        <v>0.0</v>
      </c>
      <c r="AM119" s="13">
        <v>1.0</v>
      </c>
      <c r="AN119" s="13">
        <v>1.0</v>
      </c>
      <c r="AO119" s="13">
        <v>0.0</v>
      </c>
      <c r="AP119" s="13">
        <v>0.0</v>
      </c>
      <c r="AQ119" s="13">
        <v>0.0</v>
      </c>
      <c r="AR119" s="13">
        <v>1.0</v>
      </c>
      <c r="AS119" s="13">
        <v>1.0</v>
      </c>
      <c r="AT119" s="13">
        <v>0.0</v>
      </c>
      <c r="AU119" s="13">
        <v>1.0</v>
      </c>
      <c r="AV119" s="13">
        <v>5.0</v>
      </c>
      <c r="AW119" s="13">
        <v>26.0</v>
      </c>
      <c r="AX119" s="13">
        <v>26.0</v>
      </c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7" t="s">
        <v>35</v>
      </c>
      <c r="S120" s="27" t="s">
        <v>956</v>
      </c>
      <c r="T120" s="30">
        <v>45125.0</v>
      </c>
      <c r="U120" s="31">
        <v>1.0</v>
      </c>
      <c r="V120" s="31">
        <v>1.0</v>
      </c>
      <c r="W120" s="31">
        <v>1.0</v>
      </c>
      <c r="X120" s="31">
        <v>1.0</v>
      </c>
      <c r="Y120" s="31">
        <v>0.0</v>
      </c>
      <c r="Z120" s="31">
        <v>1.0</v>
      </c>
      <c r="AA120" s="31">
        <v>1.0</v>
      </c>
      <c r="AB120" s="31">
        <v>1.0</v>
      </c>
      <c r="AC120" s="31">
        <v>0.0</v>
      </c>
      <c r="AD120" s="31">
        <v>1.0</v>
      </c>
      <c r="AE120" s="31">
        <v>8.0</v>
      </c>
      <c r="AF120" s="31">
        <v>3.0</v>
      </c>
      <c r="AG120" s="31">
        <v>3.0</v>
      </c>
      <c r="AH120" s="13"/>
      <c r="AI120" s="10" t="s">
        <v>43</v>
      </c>
      <c r="AJ120" s="10" t="s">
        <v>957</v>
      </c>
      <c r="AK120" s="29">
        <v>43759.0</v>
      </c>
      <c r="AL120" s="13">
        <v>0.0</v>
      </c>
      <c r="AM120" s="13">
        <v>1.0</v>
      </c>
      <c r="AN120" s="13">
        <v>1.0</v>
      </c>
      <c r="AO120" s="13">
        <v>0.0</v>
      </c>
      <c r="AP120" s="13">
        <v>0.0</v>
      </c>
      <c r="AQ120" s="13">
        <v>0.0</v>
      </c>
      <c r="AR120" s="13">
        <v>1.0</v>
      </c>
      <c r="AS120" s="13">
        <v>1.0</v>
      </c>
      <c r="AT120" s="13">
        <v>0.0</v>
      </c>
      <c r="AU120" s="13">
        <v>1.0</v>
      </c>
      <c r="AV120" s="13">
        <v>5.0</v>
      </c>
      <c r="AW120" s="13">
        <v>26.0</v>
      </c>
      <c r="AX120" s="13">
        <v>26.0</v>
      </c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7" t="s">
        <v>35</v>
      </c>
      <c r="S121" s="27" t="s">
        <v>958</v>
      </c>
      <c r="T121" s="30">
        <v>45250.0</v>
      </c>
      <c r="U121" s="31">
        <v>0.0</v>
      </c>
      <c r="V121" s="31">
        <v>1.0</v>
      </c>
      <c r="W121" s="31">
        <v>1.0</v>
      </c>
      <c r="X121" s="31">
        <v>1.0</v>
      </c>
      <c r="Y121" s="31">
        <v>0.0</v>
      </c>
      <c r="Z121" s="31">
        <v>0.0</v>
      </c>
      <c r="AA121" s="31">
        <v>1.0</v>
      </c>
      <c r="AB121" s="31">
        <v>1.0</v>
      </c>
      <c r="AC121" s="31">
        <v>0.0</v>
      </c>
      <c r="AD121" s="31">
        <v>1.0</v>
      </c>
      <c r="AE121" s="31">
        <v>6.0</v>
      </c>
      <c r="AF121" s="31">
        <v>3.0</v>
      </c>
      <c r="AG121" s="31">
        <v>3.0</v>
      </c>
      <c r="AH121" s="13"/>
      <c r="AI121" s="10" t="s">
        <v>43</v>
      </c>
      <c r="AJ121" s="10" t="s">
        <v>959</v>
      </c>
      <c r="AK121" s="29">
        <v>43775.0</v>
      </c>
      <c r="AL121" s="13">
        <v>0.0</v>
      </c>
      <c r="AM121" s="13">
        <v>1.0</v>
      </c>
      <c r="AN121" s="13">
        <v>1.0</v>
      </c>
      <c r="AO121" s="13">
        <v>0.0</v>
      </c>
      <c r="AP121" s="13">
        <v>0.0</v>
      </c>
      <c r="AQ121" s="13">
        <v>0.0</v>
      </c>
      <c r="AR121" s="13">
        <v>1.0</v>
      </c>
      <c r="AS121" s="13">
        <v>1.0</v>
      </c>
      <c r="AT121" s="13">
        <v>0.0</v>
      </c>
      <c r="AU121" s="13">
        <v>1.0</v>
      </c>
      <c r="AV121" s="13">
        <v>5.0</v>
      </c>
      <c r="AW121" s="13">
        <v>25.0</v>
      </c>
      <c r="AX121" s="13">
        <v>25.0</v>
      </c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7" t="s">
        <v>35</v>
      </c>
      <c r="S122" s="27" t="s">
        <v>960</v>
      </c>
      <c r="T122" s="30">
        <v>45435.0</v>
      </c>
      <c r="U122" s="31">
        <v>0.0</v>
      </c>
      <c r="V122" s="31">
        <v>1.0</v>
      </c>
      <c r="W122" s="31">
        <v>1.0</v>
      </c>
      <c r="X122" s="31">
        <v>0.0</v>
      </c>
      <c r="Y122" s="31">
        <v>0.0</v>
      </c>
      <c r="Z122" s="31">
        <v>0.0</v>
      </c>
      <c r="AA122" s="31">
        <v>0.0</v>
      </c>
      <c r="AB122" s="31">
        <v>1.0</v>
      </c>
      <c r="AC122" s="31">
        <v>0.0</v>
      </c>
      <c r="AD122" s="31">
        <v>1.0</v>
      </c>
      <c r="AE122" s="31">
        <v>4.0</v>
      </c>
      <c r="AF122" s="31">
        <v>3.0</v>
      </c>
      <c r="AG122" s="31">
        <v>3.0</v>
      </c>
      <c r="AH122" s="13"/>
      <c r="AI122" s="10" t="s">
        <v>43</v>
      </c>
      <c r="AJ122" s="10" t="s">
        <v>961</v>
      </c>
      <c r="AK122" s="29">
        <v>43775.0</v>
      </c>
      <c r="AL122" s="13">
        <v>0.0</v>
      </c>
      <c r="AM122" s="13">
        <v>1.0</v>
      </c>
      <c r="AN122" s="13">
        <v>1.0</v>
      </c>
      <c r="AO122" s="13">
        <v>0.0</v>
      </c>
      <c r="AP122" s="13">
        <v>0.0</v>
      </c>
      <c r="AQ122" s="13">
        <v>0.0</v>
      </c>
      <c r="AR122" s="13">
        <v>1.0</v>
      </c>
      <c r="AS122" s="13">
        <v>1.0</v>
      </c>
      <c r="AT122" s="13">
        <v>0.0</v>
      </c>
      <c r="AU122" s="13">
        <v>1.0</v>
      </c>
      <c r="AV122" s="13">
        <v>5.0</v>
      </c>
      <c r="AW122" s="13">
        <v>25.0</v>
      </c>
      <c r="AX122" s="13">
        <v>25.0</v>
      </c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7" t="s">
        <v>35</v>
      </c>
      <c r="S123" s="27" t="s">
        <v>962</v>
      </c>
      <c r="T123" s="30">
        <v>45436.0</v>
      </c>
      <c r="U123" s="31">
        <v>0.0</v>
      </c>
      <c r="V123" s="31">
        <v>1.0</v>
      </c>
      <c r="W123" s="31">
        <v>1.0</v>
      </c>
      <c r="X123" s="31">
        <v>0.0</v>
      </c>
      <c r="Y123" s="31">
        <v>0.0</v>
      </c>
      <c r="Z123" s="31">
        <v>0.0</v>
      </c>
      <c r="AA123" s="31">
        <v>0.0</v>
      </c>
      <c r="AB123" s="31">
        <v>1.0</v>
      </c>
      <c r="AC123" s="31">
        <v>0.0</v>
      </c>
      <c r="AD123" s="31">
        <v>1.0</v>
      </c>
      <c r="AE123" s="31">
        <v>4.0</v>
      </c>
      <c r="AF123" s="31">
        <v>3.0</v>
      </c>
      <c r="AG123" s="31">
        <v>3.0</v>
      </c>
      <c r="AH123" s="13"/>
      <c r="AI123" s="10" t="s">
        <v>43</v>
      </c>
      <c r="AJ123" s="10" t="s">
        <v>963</v>
      </c>
      <c r="AK123" s="29">
        <v>43810.0</v>
      </c>
      <c r="AL123" s="13">
        <v>0.0</v>
      </c>
      <c r="AM123" s="13">
        <v>1.0</v>
      </c>
      <c r="AN123" s="13">
        <v>1.0</v>
      </c>
      <c r="AO123" s="13">
        <v>0.0</v>
      </c>
      <c r="AP123" s="13">
        <v>0.0</v>
      </c>
      <c r="AQ123" s="13">
        <v>0.0</v>
      </c>
      <c r="AR123" s="13">
        <v>1.0</v>
      </c>
      <c r="AS123" s="13">
        <v>1.0</v>
      </c>
      <c r="AT123" s="13">
        <v>0.0</v>
      </c>
      <c r="AU123" s="13">
        <v>1.0</v>
      </c>
      <c r="AV123" s="13">
        <v>5.0</v>
      </c>
      <c r="AW123" s="13">
        <v>24.0</v>
      </c>
      <c r="AX123" s="13">
        <v>24.0</v>
      </c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7" t="s">
        <v>35</v>
      </c>
      <c r="S124" s="27" t="s">
        <v>964</v>
      </c>
      <c r="T124" s="30">
        <v>45460.0</v>
      </c>
      <c r="U124" s="31">
        <v>0.0</v>
      </c>
      <c r="V124" s="31">
        <v>1.0</v>
      </c>
      <c r="W124" s="31">
        <v>1.0</v>
      </c>
      <c r="X124" s="31">
        <v>1.0</v>
      </c>
      <c r="Y124" s="31">
        <v>0.0</v>
      </c>
      <c r="Z124" s="31">
        <v>0.0</v>
      </c>
      <c r="AA124" s="31">
        <v>1.0</v>
      </c>
      <c r="AB124" s="31">
        <v>1.0</v>
      </c>
      <c r="AC124" s="31">
        <v>0.0</v>
      </c>
      <c r="AD124" s="31">
        <v>1.0</v>
      </c>
      <c r="AE124" s="31">
        <v>6.0</v>
      </c>
      <c r="AF124" s="31">
        <v>3.0</v>
      </c>
      <c r="AG124" s="31">
        <v>3.0</v>
      </c>
      <c r="AH124" s="13"/>
      <c r="AI124" s="10" t="s">
        <v>43</v>
      </c>
      <c r="AJ124" s="10" t="s">
        <v>965</v>
      </c>
      <c r="AK124" s="29">
        <v>43826.0</v>
      </c>
      <c r="AL124" s="13">
        <v>1.0</v>
      </c>
      <c r="AM124" s="13">
        <v>1.0</v>
      </c>
      <c r="AN124" s="13">
        <v>1.0</v>
      </c>
      <c r="AO124" s="13">
        <v>1.0</v>
      </c>
      <c r="AP124" s="13">
        <v>0.0</v>
      </c>
      <c r="AQ124" s="13">
        <v>0.0</v>
      </c>
      <c r="AR124" s="13">
        <v>1.0</v>
      </c>
      <c r="AS124" s="13">
        <v>1.0</v>
      </c>
      <c r="AT124" s="13">
        <v>0.0</v>
      </c>
      <c r="AU124" s="13">
        <v>1.0</v>
      </c>
      <c r="AV124" s="13">
        <v>7.0</v>
      </c>
      <c r="AW124" s="13">
        <v>24.0</v>
      </c>
      <c r="AX124" s="13">
        <v>24.0</v>
      </c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7" t="s">
        <v>35</v>
      </c>
      <c r="S125" s="27" t="s">
        <v>966</v>
      </c>
      <c r="T125" s="30">
        <v>45509.0</v>
      </c>
      <c r="U125" s="31">
        <v>1.0</v>
      </c>
      <c r="V125" s="31">
        <v>1.0</v>
      </c>
      <c r="W125" s="31">
        <v>1.0</v>
      </c>
      <c r="X125" s="31">
        <v>1.0</v>
      </c>
      <c r="Y125" s="31">
        <v>0.0</v>
      </c>
      <c r="Z125" s="31">
        <v>1.0</v>
      </c>
      <c r="AA125" s="31">
        <v>1.0</v>
      </c>
      <c r="AB125" s="31">
        <v>1.0</v>
      </c>
      <c r="AC125" s="31">
        <v>0.0</v>
      </c>
      <c r="AD125" s="31">
        <v>1.0</v>
      </c>
      <c r="AE125" s="31">
        <v>8.0</v>
      </c>
      <c r="AF125" s="31">
        <v>3.0</v>
      </c>
      <c r="AG125" s="31">
        <v>3.0</v>
      </c>
      <c r="AH125" s="13"/>
      <c r="AI125" s="10" t="s">
        <v>43</v>
      </c>
      <c r="AJ125" s="10" t="s">
        <v>967</v>
      </c>
      <c r="AK125" s="29">
        <v>43888.0</v>
      </c>
      <c r="AL125" s="13">
        <v>1.0</v>
      </c>
      <c r="AM125" s="13">
        <v>1.0</v>
      </c>
      <c r="AN125" s="13">
        <v>1.0</v>
      </c>
      <c r="AO125" s="13">
        <v>1.0</v>
      </c>
      <c r="AP125" s="13">
        <v>1.0</v>
      </c>
      <c r="AQ125" s="13">
        <v>1.0</v>
      </c>
      <c r="AR125" s="13">
        <v>1.0</v>
      </c>
      <c r="AS125" s="13">
        <v>0.0</v>
      </c>
      <c r="AT125" s="13">
        <v>0.0</v>
      </c>
      <c r="AU125" s="13">
        <v>1.0</v>
      </c>
      <c r="AV125" s="13">
        <v>8.0</v>
      </c>
      <c r="AW125" s="13">
        <v>25.0</v>
      </c>
      <c r="AX125" s="13">
        <v>25.0</v>
      </c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7" t="s">
        <v>35</v>
      </c>
      <c r="S126" s="27" t="s">
        <v>968</v>
      </c>
      <c r="T126" s="30">
        <v>45509.0</v>
      </c>
      <c r="U126" s="31">
        <v>1.0</v>
      </c>
      <c r="V126" s="31">
        <v>1.0</v>
      </c>
      <c r="W126" s="31">
        <v>1.0</v>
      </c>
      <c r="X126" s="31">
        <v>1.0</v>
      </c>
      <c r="Y126" s="31">
        <v>0.0</v>
      </c>
      <c r="Z126" s="31">
        <v>1.0</v>
      </c>
      <c r="AA126" s="31">
        <v>1.0</v>
      </c>
      <c r="AB126" s="31">
        <v>1.0</v>
      </c>
      <c r="AC126" s="31">
        <v>0.0</v>
      </c>
      <c r="AD126" s="31">
        <v>1.0</v>
      </c>
      <c r="AE126" s="31">
        <v>8.0</v>
      </c>
      <c r="AF126" s="31">
        <v>3.0</v>
      </c>
      <c r="AG126" s="31">
        <v>3.0</v>
      </c>
      <c r="AH126" s="13"/>
      <c r="AI126" s="10" t="s">
        <v>43</v>
      </c>
      <c r="AJ126" s="10" t="s">
        <v>969</v>
      </c>
      <c r="AK126" s="29">
        <v>44070.0</v>
      </c>
      <c r="AL126" s="13">
        <v>1.0</v>
      </c>
      <c r="AM126" s="13">
        <v>0.0</v>
      </c>
      <c r="AN126" s="13">
        <v>1.0</v>
      </c>
      <c r="AO126" s="13">
        <v>1.0</v>
      </c>
      <c r="AP126" s="13">
        <v>0.0</v>
      </c>
      <c r="AQ126" s="13">
        <v>0.0</v>
      </c>
      <c r="AR126" s="13">
        <v>0.0</v>
      </c>
      <c r="AS126" s="13">
        <v>1.0</v>
      </c>
      <c r="AT126" s="13">
        <v>0.0</v>
      </c>
      <c r="AU126" s="13">
        <v>1.0</v>
      </c>
      <c r="AV126" s="13">
        <v>5.0</v>
      </c>
      <c r="AW126" s="13">
        <v>51.0</v>
      </c>
      <c r="AX126" s="13">
        <v>51.0</v>
      </c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7" t="s">
        <v>35</v>
      </c>
      <c r="S127" s="27" t="s">
        <v>970</v>
      </c>
      <c r="T127" s="30">
        <v>45573.0</v>
      </c>
      <c r="U127" s="31">
        <v>0.0</v>
      </c>
      <c r="V127" s="31">
        <v>1.0</v>
      </c>
      <c r="W127" s="31">
        <v>1.0</v>
      </c>
      <c r="X127" s="31">
        <v>0.0</v>
      </c>
      <c r="Y127" s="31">
        <v>0.0</v>
      </c>
      <c r="Z127" s="31">
        <v>0.0</v>
      </c>
      <c r="AA127" s="31">
        <v>1.0</v>
      </c>
      <c r="AB127" s="31">
        <v>1.0</v>
      </c>
      <c r="AC127" s="31">
        <v>0.0</v>
      </c>
      <c r="AD127" s="31">
        <v>1.0</v>
      </c>
      <c r="AE127" s="31">
        <v>5.0</v>
      </c>
      <c r="AF127" s="31">
        <v>3.0</v>
      </c>
      <c r="AG127" s="31">
        <v>3.0</v>
      </c>
      <c r="AH127" s="13"/>
      <c r="AI127" s="10" t="s">
        <v>43</v>
      </c>
      <c r="AJ127" s="10" t="s">
        <v>971</v>
      </c>
      <c r="AK127" s="29">
        <v>44139.0</v>
      </c>
      <c r="AL127" s="13">
        <v>0.0</v>
      </c>
      <c r="AM127" s="13">
        <v>0.0</v>
      </c>
      <c r="AN127" s="13">
        <v>1.0</v>
      </c>
      <c r="AO127" s="13">
        <v>0.0</v>
      </c>
      <c r="AP127" s="13">
        <v>1.0</v>
      </c>
      <c r="AQ127" s="13">
        <v>0.0</v>
      </c>
      <c r="AR127" s="13">
        <v>0.0</v>
      </c>
      <c r="AS127" s="13">
        <v>1.0</v>
      </c>
      <c r="AT127" s="13">
        <v>1.0</v>
      </c>
      <c r="AU127" s="13">
        <v>1.0</v>
      </c>
      <c r="AV127" s="13">
        <v>5.0</v>
      </c>
      <c r="AW127" s="13">
        <v>43.0</v>
      </c>
      <c r="AX127" s="13">
        <v>43.0</v>
      </c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7" t="s">
        <v>35</v>
      </c>
      <c r="S128" s="27" t="s">
        <v>972</v>
      </c>
      <c r="T128" s="30">
        <v>45573.0</v>
      </c>
      <c r="U128" s="31">
        <v>0.0</v>
      </c>
      <c r="V128" s="31">
        <v>1.0</v>
      </c>
      <c r="W128" s="31">
        <v>1.0</v>
      </c>
      <c r="X128" s="31">
        <v>0.0</v>
      </c>
      <c r="Y128" s="31">
        <v>0.0</v>
      </c>
      <c r="Z128" s="31">
        <v>0.0</v>
      </c>
      <c r="AA128" s="31">
        <v>1.0</v>
      </c>
      <c r="AB128" s="31">
        <v>1.0</v>
      </c>
      <c r="AC128" s="31">
        <v>0.0</v>
      </c>
      <c r="AD128" s="31">
        <v>1.0</v>
      </c>
      <c r="AE128" s="31">
        <v>5.0</v>
      </c>
      <c r="AF128" s="31">
        <v>3.0</v>
      </c>
      <c r="AG128" s="31">
        <v>3.0</v>
      </c>
      <c r="AH128" s="13"/>
      <c r="AI128" s="10" t="s">
        <v>43</v>
      </c>
      <c r="AJ128" s="10" t="s">
        <v>973</v>
      </c>
      <c r="AK128" s="29">
        <v>44210.0</v>
      </c>
      <c r="AL128" s="13">
        <v>0.0</v>
      </c>
      <c r="AM128" s="13">
        <v>1.0</v>
      </c>
      <c r="AN128" s="13">
        <v>1.0</v>
      </c>
      <c r="AO128" s="13">
        <v>0.0</v>
      </c>
      <c r="AP128" s="13">
        <v>0.0</v>
      </c>
      <c r="AQ128" s="13">
        <v>0.0</v>
      </c>
      <c r="AR128" s="13">
        <v>1.0</v>
      </c>
      <c r="AS128" s="13">
        <v>1.0</v>
      </c>
      <c r="AT128" s="13">
        <v>0.0</v>
      </c>
      <c r="AU128" s="13">
        <v>1.0</v>
      </c>
      <c r="AV128" s="13">
        <v>5.0</v>
      </c>
      <c r="AW128" s="13">
        <v>48.0</v>
      </c>
      <c r="AX128" s="13">
        <v>48.0</v>
      </c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7" t="s">
        <v>35</v>
      </c>
      <c r="S129" s="27" t="s">
        <v>974</v>
      </c>
      <c r="T129" s="30">
        <v>45577.0</v>
      </c>
      <c r="U129" s="31">
        <v>0.0</v>
      </c>
      <c r="V129" s="31">
        <v>1.0</v>
      </c>
      <c r="W129" s="31">
        <v>1.0</v>
      </c>
      <c r="X129" s="31">
        <v>0.0</v>
      </c>
      <c r="Y129" s="31">
        <v>0.0</v>
      </c>
      <c r="Z129" s="31">
        <v>0.0</v>
      </c>
      <c r="AA129" s="31">
        <v>1.0</v>
      </c>
      <c r="AB129" s="31">
        <v>1.0</v>
      </c>
      <c r="AC129" s="31">
        <v>0.0</v>
      </c>
      <c r="AD129" s="31">
        <v>1.0</v>
      </c>
      <c r="AE129" s="31">
        <v>5.0</v>
      </c>
      <c r="AF129" s="31">
        <v>3.0</v>
      </c>
      <c r="AG129" s="31">
        <v>3.0</v>
      </c>
      <c r="AH129" s="13"/>
      <c r="AI129" s="10" t="s">
        <v>43</v>
      </c>
      <c r="AJ129" s="10" t="s">
        <v>975</v>
      </c>
      <c r="AK129" s="29">
        <v>44211.0</v>
      </c>
      <c r="AL129" s="13">
        <v>0.0</v>
      </c>
      <c r="AM129" s="13">
        <v>1.0</v>
      </c>
      <c r="AN129" s="13">
        <v>1.0</v>
      </c>
      <c r="AO129" s="13">
        <v>0.0</v>
      </c>
      <c r="AP129" s="13">
        <v>0.0</v>
      </c>
      <c r="AQ129" s="13">
        <v>0.0</v>
      </c>
      <c r="AR129" s="13">
        <v>1.0</v>
      </c>
      <c r="AS129" s="13">
        <v>1.0</v>
      </c>
      <c r="AT129" s="13">
        <v>0.0</v>
      </c>
      <c r="AU129" s="13">
        <v>1.0</v>
      </c>
      <c r="AV129" s="13">
        <v>5.0</v>
      </c>
      <c r="AW129" s="13">
        <v>48.0</v>
      </c>
      <c r="AX129" s="13">
        <v>48.0</v>
      </c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7" t="s">
        <v>34</v>
      </c>
      <c r="S130" s="27" t="s">
        <v>976</v>
      </c>
      <c r="T130" s="30">
        <v>43507.0</v>
      </c>
      <c r="U130" s="31">
        <v>0.0</v>
      </c>
      <c r="V130" s="31">
        <v>0.0</v>
      </c>
      <c r="W130" s="31">
        <v>1.0</v>
      </c>
      <c r="X130" s="31">
        <v>1.0</v>
      </c>
      <c r="Y130" s="31">
        <v>1.0</v>
      </c>
      <c r="Z130" s="31">
        <v>0.0</v>
      </c>
      <c r="AA130" s="31">
        <v>0.0</v>
      </c>
      <c r="AB130" s="31">
        <v>1.0</v>
      </c>
      <c r="AC130" s="31">
        <v>0.0</v>
      </c>
      <c r="AD130" s="31">
        <v>1.0</v>
      </c>
      <c r="AE130" s="31">
        <v>5.0</v>
      </c>
      <c r="AF130" s="31">
        <v>3.0</v>
      </c>
      <c r="AG130" s="31">
        <v>3.0</v>
      </c>
      <c r="AH130" s="13"/>
      <c r="AI130" s="10" t="s">
        <v>43</v>
      </c>
      <c r="AJ130" s="10" t="s">
        <v>977</v>
      </c>
      <c r="AK130" s="29">
        <v>44258.0</v>
      </c>
      <c r="AL130" s="13">
        <v>1.0</v>
      </c>
      <c r="AM130" s="13">
        <v>1.0</v>
      </c>
      <c r="AN130" s="13">
        <v>1.0</v>
      </c>
      <c r="AO130" s="13">
        <v>1.0</v>
      </c>
      <c r="AP130" s="13">
        <v>0.0</v>
      </c>
      <c r="AQ130" s="13">
        <v>1.0</v>
      </c>
      <c r="AR130" s="13">
        <v>1.0</v>
      </c>
      <c r="AS130" s="13">
        <v>1.0</v>
      </c>
      <c r="AT130" s="13">
        <v>0.0</v>
      </c>
      <c r="AU130" s="13">
        <v>1.0</v>
      </c>
      <c r="AV130" s="13">
        <v>8.0</v>
      </c>
      <c r="AW130" s="13">
        <v>44.0</v>
      </c>
      <c r="AX130" s="13">
        <v>44.0</v>
      </c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7" t="s">
        <v>34</v>
      </c>
      <c r="S131" s="27" t="s">
        <v>978</v>
      </c>
      <c r="T131" s="30">
        <v>43564.0</v>
      </c>
      <c r="U131" s="31">
        <v>0.0</v>
      </c>
      <c r="V131" s="31">
        <v>1.0</v>
      </c>
      <c r="W131" s="31">
        <v>1.0</v>
      </c>
      <c r="X131" s="31">
        <v>0.0</v>
      </c>
      <c r="Y131" s="31">
        <v>0.0</v>
      </c>
      <c r="Z131" s="31">
        <v>0.0</v>
      </c>
      <c r="AA131" s="31">
        <v>1.0</v>
      </c>
      <c r="AB131" s="31">
        <v>1.0</v>
      </c>
      <c r="AC131" s="31">
        <v>0.0</v>
      </c>
      <c r="AD131" s="31">
        <v>1.0</v>
      </c>
      <c r="AE131" s="31">
        <v>5.0</v>
      </c>
      <c r="AF131" s="31">
        <v>5.0</v>
      </c>
      <c r="AG131" s="31">
        <v>5.0</v>
      </c>
      <c r="AH131" s="13"/>
      <c r="AI131" s="10" t="s">
        <v>43</v>
      </c>
      <c r="AJ131" s="10" t="s">
        <v>979</v>
      </c>
      <c r="AK131" s="29">
        <v>44489.0</v>
      </c>
      <c r="AL131" s="13">
        <v>0.0</v>
      </c>
      <c r="AM131" s="13">
        <v>0.0</v>
      </c>
      <c r="AN131" s="13">
        <v>1.0</v>
      </c>
      <c r="AO131" s="13">
        <v>0.0</v>
      </c>
      <c r="AP131" s="13">
        <v>1.0</v>
      </c>
      <c r="AQ131" s="13">
        <v>1.0</v>
      </c>
      <c r="AR131" s="13">
        <v>0.0</v>
      </c>
      <c r="AS131" s="13">
        <v>1.0</v>
      </c>
      <c r="AT131" s="13">
        <v>0.0</v>
      </c>
      <c r="AU131" s="13">
        <v>1.0</v>
      </c>
      <c r="AV131" s="13">
        <v>5.0</v>
      </c>
      <c r="AW131" s="13">
        <v>43.0</v>
      </c>
      <c r="AX131" s="13">
        <v>43.0</v>
      </c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7" t="s">
        <v>34</v>
      </c>
      <c r="S132" s="27" t="s">
        <v>980</v>
      </c>
      <c r="T132" s="30">
        <v>43582.0</v>
      </c>
      <c r="U132" s="31">
        <v>1.0</v>
      </c>
      <c r="V132" s="31">
        <v>0.0</v>
      </c>
      <c r="W132" s="31">
        <v>1.0</v>
      </c>
      <c r="X132" s="31">
        <v>1.0</v>
      </c>
      <c r="Y132" s="31">
        <v>1.0</v>
      </c>
      <c r="Z132" s="31">
        <v>0.0</v>
      </c>
      <c r="AA132" s="31">
        <v>0.0</v>
      </c>
      <c r="AB132" s="31">
        <v>0.0</v>
      </c>
      <c r="AC132" s="31">
        <v>0.0</v>
      </c>
      <c r="AD132" s="31">
        <v>1.0</v>
      </c>
      <c r="AE132" s="31">
        <v>5.0</v>
      </c>
      <c r="AF132" s="31">
        <v>6.0</v>
      </c>
      <c r="AG132" s="31">
        <v>6.0</v>
      </c>
      <c r="AH132" s="13"/>
      <c r="AI132" s="10" t="s">
        <v>43</v>
      </c>
      <c r="AJ132" s="10" t="s">
        <v>981</v>
      </c>
      <c r="AK132" s="29">
        <v>44728.0</v>
      </c>
      <c r="AL132" s="13">
        <v>0.0</v>
      </c>
      <c r="AM132" s="13">
        <v>0.0</v>
      </c>
      <c r="AN132" s="13">
        <v>1.0</v>
      </c>
      <c r="AO132" s="13">
        <v>1.0</v>
      </c>
      <c r="AP132" s="13">
        <v>0.0</v>
      </c>
      <c r="AQ132" s="13">
        <v>0.0</v>
      </c>
      <c r="AR132" s="13">
        <v>0.0</v>
      </c>
      <c r="AS132" s="13">
        <v>0.0</v>
      </c>
      <c r="AT132" s="13">
        <v>0.0</v>
      </c>
      <c r="AU132" s="13">
        <v>1.0</v>
      </c>
      <c r="AV132" s="13">
        <v>3.0</v>
      </c>
      <c r="AW132" s="13">
        <v>45.0</v>
      </c>
      <c r="AX132" s="13">
        <v>45.0</v>
      </c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7" t="s">
        <v>34</v>
      </c>
      <c r="S133" s="27" t="s">
        <v>982</v>
      </c>
      <c r="T133" s="30">
        <v>43670.0</v>
      </c>
      <c r="U133" s="31">
        <v>0.0</v>
      </c>
      <c r="V133" s="31">
        <v>1.0</v>
      </c>
      <c r="W133" s="31">
        <v>1.0</v>
      </c>
      <c r="X133" s="31">
        <v>1.0</v>
      </c>
      <c r="Y133" s="31">
        <v>0.0</v>
      </c>
      <c r="Z133" s="31">
        <v>0.0</v>
      </c>
      <c r="AA133" s="31">
        <v>0.0</v>
      </c>
      <c r="AB133" s="31">
        <v>0.0</v>
      </c>
      <c r="AC133" s="31">
        <v>0.0</v>
      </c>
      <c r="AD133" s="31">
        <v>1.0</v>
      </c>
      <c r="AE133" s="31">
        <v>4.0</v>
      </c>
      <c r="AF133" s="31">
        <v>8.0</v>
      </c>
      <c r="AG133" s="31">
        <v>8.0</v>
      </c>
      <c r="AH133" s="13"/>
      <c r="AI133" s="10" t="s">
        <v>43</v>
      </c>
      <c r="AJ133" s="10" t="s">
        <v>983</v>
      </c>
      <c r="AK133" s="29">
        <v>45113.0</v>
      </c>
      <c r="AL133" s="13">
        <v>0.0</v>
      </c>
      <c r="AM133" s="13">
        <v>1.0</v>
      </c>
      <c r="AN133" s="13">
        <v>1.0</v>
      </c>
      <c r="AO133" s="13">
        <v>0.0</v>
      </c>
      <c r="AP133" s="13">
        <v>0.0</v>
      </c>
      <c r="AQ133" s="13">
        <v>0.0</v>
      </c>
      <c r="AR133" s="13">
        <v>1.0</v>
      </c>
      <c r="AS133" s="13">
        <v>1.0</v>
      </c>
      <c r="AT133" s="13">
        <v>0.0</v>
      </c>
      <c r="AU133" s="13">
        <v>1.0</v>
      </c>
      <c r="AV133" s="13">
        <v>5.0</v>
      </c>
      <c r="AW133" s="13">
        <v>53.0</v>
      </c>
      <c r="AX133" s="13">
        <v>53.0</v>
      </c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7" t="s">
        <v>34</v>
      </c>
      <c r="S134" s="27" t="s">
        <v>984</v>
      </c>
      <c r="T134" s="30">
        <v>43751.0</v>
      </c>
      <c r="U134" s="31">
        <v>0.0</v>
      </c>
      <c r="V134" s="31">
        <v>0.0</v>
      </c>
      <c r="W134" s="31">
        <v>1.0</v>
      </c>
      <c r="X134" s="31">
        <v>1.0</v>
      </c>
      <c r="Y134" s="31">
        <v>0.0</v>
      </c>
      <c r="Z134" s="31">
        <v>0.0</v>
      </c>
      <c r="AA134" s="31">
        <v>0.0</v>
      </c>
      <c r="AB134" s="31">
        <v>1.0</v>
      </c>
      <c r="AC134" s="31">
        <v>0.0</v>
      </c>
      <c r="AD134" s="31">
        <v>1.0</v>
      </c>
      <c r="AE134" s="31">
        <v>4.0</v>
      </c>
      <c r="AF134" s="31">
        <v>10.0</v>
      </c>
      <c r="AG134" s="31">
        <v>10.0</v>
      </c>
      <c r="AH134" s="13"/>
      <c r="AI134" s="10" t="s">
        <v>43</v>
      </c>
      <c r="AJ134" s="10" t="s">
        <v>985</v>
      </c>
      <c r="AK134" s="29">
        <v>45122.0</v>
      </c>
      <c r="AL134" s="13">
        <v>1.0</v>
      </c>
      <c r="AM134" s="13">
        <v>0.0</v>
      </c>
      <c r="AN134" s="13">
        <v>1.0</v>
      </c>
      <c r="AO134" s="13">
        <v>1.0</v>
      </c>
      <c r="AP134" s="13">
        <v>0.0</v>
      </c>
      <c r="AQ134" s="13">
        <v>0.0</v>
      </c>
      <c r="AR134" s="13">
        <v>0.0</v>
      </c>
      <c r="AS134" s="13">
        <v>1.0</v>
      </c>
      <c r="AT134" s="13">
        <v>0.0</v>
      </c>
      <c r="AU134" s="13">
        <v>1.0</v>
      </c>
      <c r="AV134" s="13">
        <v>5.0</v>
      </c>
      <c r="AW134" s="13">
        <v>58.0</v>
      </c>
      <c r="AX134" s="13">
        <v>58.0</v>
      </c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7" t="s">
        <v>34</v>
      </c>
      <c r="S135" s="27" t="s">
        <v>986</v>
      </c>
      <c r="T135" s="30">
        <v>43896.0</v>
      </c>
      <c r="U135" s="31">
        <v>0.0</v>
      </c>
      <c r="V135" s="31">
        <v>0.0</v>
      </c>
      <c r="W135" s="31">
        <v>1.0</v>
      </c>
      <c r="X135" s="31">
        <v>1.0</v>
      </c>
      <c r="Y135" s="31">
        <v>0.0</v>
      </c>
      <c r="Z135" s="31">
        <v>0.0</v>
      </c>
      <c r="AA135" s="31">
        <v>0.0</v>
      </c>
      <c r="AB135" s="31">
        <v>0.0</v>
      </c>
      <c r="AC135" s="31">
        <v>1.0</v>
      </c>
      <c r="AD135" s="31">
        <v>1.0</v>
      </c>
      <c r="AE135" s="31">
        <v>4.0</v>
      </c>
      <c r="AF135" s="31">
        <v>13.0</v>
      </c>
      <c r="AG135" s="31">
        <v>13.0</v>
      </c>
      <c r="AH135" s="13"/>
      <c r="AI135" s="10" t="s">
        <v>43</v>
      </c>
      <c r="AJ135" s="10" t="s">
        <v>987</v>
      </c>
      <c r="AK135" s="29">
        <v>45208.0</v>
      </c>
      <c r="AL135" s="13">
        <v>1.0</v>
      </c>
      <c r="AM135" s="13">
        <v>1.0</v>
      </c>
      <c r="AN135" s="13">
        <v>1.0</v>
      </c>
      <c r="AO135" s="13">
        <v>1.0</v>
      </c>
      <c r="AP135" s="13">
        <v>0.0</v>
      </c>
      <c r="AQ135" s="13">
        <v>0.0</v>
      </c>
      <c r="AR135" s="13">
        <v>1.0</v>
      </c>
      <c r="AS135" s="13">
        <v>0.0</v>
      </c>
      <c r="AT135" s="13">
        <v>0.0</v>
      </c>
      <c r="AU135" s="13">
        <v>1.0</v>
      </c>
      <c r="AV135" s="13">
        <v>6.0</v>
      </c>
      <c r="AW135" s="13">
        <v>60.0</v>
      </c>
      <c r="AX135" s="13">
        <v>60.0</v>
      </c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7" t="s">
        <v>34</v>
      </c>
      <c r="S136" s="27" t="s">
        <v>988</v>
      </c>
      <c r="T136" s="30">
        <v>44110.0</v>
      </c>
      <c r="U136" s="31">
        <v>0.0</v>
      </c>
      <c r="V136" s="31">
        <v>1.0</v>
      </c>
      <c r="W136" s="31">
        <v>1.0</v>
      </c>
      <c r="X136" s="31">
        <v>0.0</v>
      </c>
      <c r="Y136" s="31">
        <v>0.0</v>
      </c>
      <c r="Z136" s="31">
        <v>0.0</v>
      </c>
      <c r="AA136" s="31">
        <v>1.0</v>
      </c>
      <c r="AB136" s="31">
        <v>1.0</v>
      </c>
      <c r="AC136" s="31">
        <v>0.0</v>
      </c>
      <c r="AD136" s="31">
        <v>1.0</v>
      </c>
      <c r="AE136" s="31">
        <v>5.0</v>
      </c>
      <c r="AF136" s="31">
        <v>23.0</v>
      </c>
      <c r="AG136" s="31">
        <v>23.0</v>
      </c>
      <c r="AH136" s="13"/>
      <c r="AI136" s="10" t="s">
        <v>43</v>
      </c>
      <c r="AJ136" s="10" t="s">
        <v>989</v>
      </c>
      <c r="AK136" s="29">
        <v>45267.0</v>
      </c>
      <c r="AL136" s="13">
        <v>0.0</v>
      </c>
      <c r="AM136" s="13">
        <v>1.0</v>
      </c>
      <c r="AN136" s="13">
        <v>1.0</v>
      </c>
      <c r="AO136" s="13">
        <v>0.0</v>
      </c>
      <c r="AP136" s="13">
        <v>0.0</v>
      </c>
      <c r="AQ136" s="13">
        <v>0.0</v>
      </c>
      <c r="AR136" s="13">
        <v>1.0</v>
      </c>
      <c r="AS136" s="13">
        <v>1.0</v>
      </c>
      <c r="AT136" s="13">
        <v>0.0</v>
      </c>
      <c r="AU136" s="13">
        <v>1.0</v>
      </c>
      <c r="AV136" s="13">
        <v>5.0</v>
      </c>
      <c r="AW136" s="13">
        <v>60.0</v>
      </c>
      <c r="AX136" s="13">
        <v>60.0</v>
      </c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7" t="s">
        <v>34</v>
      </c>
      <c r="S137" s="27" t="s">
        <v>744</v>
      </c>
      <c r="T137" s="30">
        <v>44151.0</v>
      </c>
      <c r="U137" s="31">
        <v>0.0</v>
      </c>
      <c r="V137" s="31">
        <v>1.0</v>
      </c>
      <c r="W137" s="31">
        <v>1.0</v>
      </c>
      <c r="X137" s="31">
        <v>0.0</v>
      </c>
      <c r="Y137" s="31">
        <v>0.0</v>
      </c>
      <c r="Z137" s="31">
        <v>0.0</v>
      </c>
      <c r="AA137" s="31">
        <v>1.0</v>
      </c>
      <c r="AB137" s="31">
        <v>1.0</v>
      </c>
      <c r="AC137" s="31">
        <v>0.0</v>
      </c>
      <c r="AD137" s="31">
        <v>1.0</v>
      </c>
      <c r="AE137" s="31">
        <v>5.0</v>
      </c>
      <c r="AF137" s="31">
        <v>25.0</v>
      </c>
      <c r="AG137" s="31">
        <v>25.0</v>
      </c>
      <c r="AH137" s="13"/>
      <c r="AI137" s="10" t="s">
        <v>43</v>
      </c>
      <c r="AJ137" s="10" t="s">
        <v>990</v>
      </c>
      <c r="AK137" s="29">
        <v>45316.0</v>
      </c>
      <c r="AL137" s="13">
        <v>0.0</v>
      </c>
      <c r="AM137" s="13">
        <v>1.0</v>
      </c>
      <c r="AN137" s="13">
        <v>1.0</v>
      </c>
      <c r="AO137" s="13">
        <v>0.0</v>
      </c>
      <c r="AP137" s="13">
        <v>0.0</v>
      </c>
      <c r="AQ137" s="13">
        <v>0.0</v>
      </c>
      <c r="AR137" s="13">
        <v>1.0</v>
      </c>
      <c r="AS137" s="13">
        <v>1.0</v>
      </c>
      <c r="AT137" s="13">
        <v>0.0</v>
      </c>
      <c r="AU137" s="13">
        <v>1.0</v>
      </c>
      <c r="AV137" s="13">
        <v>5.0</v>
      </c>
      <c r="AW137" s="13">
        <v>63.0</v>
      </c>
      <c r="AX137" s="13">
        <v>63.0</v>
      </c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7" t="s">
        <v>34</v>
      </c>
      <c r="S138" s="27" t="s">
        <v>991</v>
      </c>
      <c r="T138" s="30">
        <v>44194.0</v>
      </c>
      <c r="U138" s="31">
        <v>0.0</v>
      </c>
      <c r="V138" s="31">
        <v>1.0</v>
      </c>
      <c r="W138" s="31">
        <v>1.0</v>
      </c>
      <c r="X138" s="31">
        <v>0.0</v>
      </c>
      <c r="Y138" s="31">
        <v>0.0</v>
      </c>
      <c r="Z138" s="31">
        <v>0.0</v>
      </c>
      <c r="AA138" s="31">
        <v>1.0</v>
      </c>
      <c r="AB138" s="31">
        <v>1.0</v>
      </c>
      <c r="AC138" s="31">
        <v>0.0</v>
      </c>
      <c r="AD138" s="31">
        <v>1.0</v>
      </c>
      <c r="AE138" s="31">
        <v>5.0</v>
      </c>
      <c r="AF138" s="31">
        <v>31.0</v>
      </c>
      <c r="AG138" s="31">
        <v>31.0</v>
      </c>
      <c r="AH138" s="13"/>
      <c r="AI138" s="10" t="s">
        <v>43</v>
      </c>
      <c r="AJ138" s="10" t="s">
        <v>992</v>
      </c>
      <c r="AK138" s="29">
        <v>45359.0</v>
      </c>
      <c r="AL138" s="13">
        <v>0.0</v>
      </c>
      <c r="AM138" s="13">
        <v>1.0</v>
      </c>
      <c r="AN138" s="13">
        <v>1.0</v>
      </c>
      <c r="AO138" s="13">
        <v>0.0</v>
      </c>
      <c r="AP138" s="13">
        <v>0.0</v>
      </c>
      <c r="AQ138" s="13">
        <v>0.0</v>
      </c>
      <c r="AR138" s="13">
        <v>1.0</v>
      </c>
      <c r="AS138" s="13">
        <v>1.0</v>
      </c>
      <c r="AT138" s="13">
        <v>0.0</v>
      </c>
      <c r="AU138" s="13">
        <v>1.0</v>
      </c>
      <c r="AV138" s="13">
        <v>5.0</v>
      </c>
      <c r="AW138" s="13">
        <v>67.0</v>
      </c>
      <c r="AX138" s="13">
        <v>67.0</v>
      </c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7" t="s">
        <v>34</v>
      </c>
      <c r="S139" s="27" t="s">
        <v>993</v>
      </c>
      <c r="T139" s="30">
        <v>44228.0</v>
      </c>
      <c r="U139" s="31">
        <v>1.0</v>
      </c>
      <c r="V139" s="31">
        <v>1.0</v>
      </c>
      <c r="W139" s="31">
        <v>1.0</v>
      </c>
      <c r="X139" s="31">
        <v>1.0</v>
      </c>
      <c r="Y139" s="31">
        <v>0.0</v>
      </c>
      <c r="Z139" s="31">
        <v>0.0</v>
      </c>
      <c r="AA139" s="31">
        <v>0.0</v>
      </c>
      <c r="AB139" s="31">
        <v>1.0</v>
      </c>
      <c r="AC139" s="31">
        <v>0.0</v>
      </c>
      <c r="AD139" s="31">
        <v>1.0</v>
      </c>
      <c r="AE139" s="31">
        <v>6.0</v>
      </c>
      <c r="AF139" s="31">
        <v>31.0</v>
      </c>
      <c r="AG139" s="31">
        <v>31.0</v>
      </c>
      <c r="AH139" s="13"/>
      <c r="AI139" s="10" t="s">
        <v>43</v>
      </c>
      <c r="AJ139" s="10" t="s">
        <v>994</v>
      </c>
      <c r="AK139" s="29">
        <v>45419.0</v>
      </c>
      <c r="AL139" s="13">
        <v>0.0</v>
      </c>
      <c r="AM139" s="13">
        <v>1.0</v>
      </c>
      <c r="AN139" s="13">
        <v>1.0</v>
      </c>
      <c r="AO139" s="13">
        <v>0.0</v>
      </c>
      <c r="AP139" s="13">
        <v>0.0</v>
      </c>
      <c r="AQ139" s="13">
        <v>0.0</v>
      </c>
      <c r="AR139" s="13">
        <v>1.0</v>
      </c>
      <c r="AS139" s="13">
        <v>1.0</v>
      </c>
      <c r="AT139" s="13">
        <v>0.0</v>
      </c>
      <c r="AU139" s="13">
        <v>1.0</v>
      </c>
      <c r="AV139" s="13">
        <v>5.0</v>
      </c>
      <c r="AW139" s="13">
        <v>67.0</v>
      </c>
      <c r="AX139" s="13">
        <v>67.0</v>
      </c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7" t="s">
        <v>34</v>
      </c>
      <c r="S140" s="27" t="s">
        <v>995</v>
      </c>
      <c r="T140" s="30">
        <v>44362.0</v>
      </c>
      <c r="U140" s="31">
        <v>0.0</v>
      </c>
      <c r="V140" s="31">
        <v>0.0</v>
      </c>
      <c r="W140" s="31">
        <v>1.0</v>
      </c>
      <c r="X140" s="31">
        <v>1.0</v>
      </c>
      <c r="Y140" s="31">
        <v>1.0</v>
      </c>
      <c r="Z140" s="31">
        <v>0.0</v>
      </c>
      <c r="AA140" s="31">
        <v>0.0</v>
      </c>
      <c r="AB140" s="31">
        <v>0.0</v>
      </c>
      <c r="AC140" s="31">
        <v>0.0</v>
      </c>
      <c r="AD140" s="31">
        <v>1.0</v>
      </c>
      <c r="AE140" s="31">
        <v>4.0</v>
      </c>
      <c r="AF140" s="31">
        <v>42.0</v>
      </c>
      <c r="AG140" s="31">
        <v>42.0</v>
      </c>
      <c r="AH140" s="13"/>
      <c r="AI140" s="10" t="s">
        <v>43</v>
      </c>
      <c r="AJ140" s="10" t="s">
        <v>996</v>
      </c>
      <c r="AK140" s="29">
        <v>45470.0</v>
      </c>
      <c r="AL140" s="13">
        <v>1.0</v>
      </c>
      <c r="AM140" s="13">
        <v>1.0</v>
      </c>
      <c r="AN140" s="13">
        <v>1.0</v>
      </c>
      <c r="AO140" s="13">
        <v>1.0</v>
      </c>
      <c r="AP140" s="13">
        <v>0.0</v>
      </c>
      <c r="AQ140" s="13">
        <v>0.0</v>
      </c>
      <c r="AR140" s="13">
        <v>1.0</v>
      </c>
      <c r="AS140" s="13">
        <v>0.0</v>
      </c>
      <c r="AT140" s="13">
        <v>0.0</v>
      </c>
      <c r="AU140" s="13">
        <v>1.0</v>
      </c>
      <c r="AV140" s="13">
        <v>6.0</v>
      </c>
      <c r="AW140" s="13">
        <v>69.0</v>
      </c>
      <c r="AX140" s="13">
        <v>69.0</v>
      </c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7" t="s">
        <v>34</v>
      </c>
      <c r="S141" s="27" t="s">
        <v>997</v>
      </c>
      <c r="T141" s="30">
        <v>44593.0</v>
      </c>
      <c r="U141" s="31">
        <v>0.0</v>
      </c>
      <c r="V141" s="31">
        <v>1.0</v>
      </c>
      <c r="W141" s="31">
        <v>1.0</v>
      </c>
      <c r="X141" s="31">
        <v>0.0</v>
      </c>
      <c r="Y141" s="31">
        <v>0.0</v>
      </c>
      <c r="Z141" s="31">
        <v>0.0</v>
      </c>
      <c r="AA141" s="31">
        <v>1.0</v>
      </c>
      <c r="AB141" s="31">
        <v>1.0</v>
      </c>
      <c r="AC141" s="31">
        <v>0.0</v>
      </c>
      <c r="AD141" s="31">
        <v>1.0</v>
      </c>
      <c r="AE141" s="31">
        <v>5.0</v>
      </c>
      <c r="AF141" s="31">
        <v>67.0</v>
      </c>
      <c r="AG141" s="31">
        <v>67.0</v>
      </c>
      <c r="AH141" s="13"/>
      <c r="AI141" s="10" t="s">
        <v>43</v>
      </c>
      <c r="AJ141" s="10" t="s">
        <v>998</v>
      </c>
      <c r="AK141" s="29">
        <v>45721.0</v>
      </c>
      <c r="AL141" s="13">
        <v>0.0</v>
      </c>
      <c r="AM141" s="13">
        <v>1.0</v>
      </c>
      <c r="AN141" s="13">
        <v>1.0</v>
      </c>
      <c r="AO141" s="13">
        <v>0.0</v>
      </c>
      <c r="AP141" s="13">
        <v>0.0</v>
      </c>
      <c r="AQ141" s="13">
        <v>0.0</v>
      </c>
      <c r="AR141" s="13">
        <v>1.0</v>
      </c>
      <c r="AS141" s="13">
        <v>1.0</v>
      </c>
      <c r="AT141" s="13">
        <v>0.0</v>
      </c>
      <c r="AU141" s="13">
        <v>1.0</v>
      </c>
      <c r="AV141" s="13">
        <v>5.0</v>
      </c>
      <c r="AW141" s="13">
        <v>76.0</v>
      </c>
      <c r="AX141" s="13">
        <v>76.0</v>
      </c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7" t="s">
        <v>34</v>
      </c>
      <c r="S142" s="27" t="s">
        <v>999</v>
      </c>
      <c r="T142" s="30">
        <v>44602.0</v>
      </c>
      <c r="U142" s="31">
        <v>0.0</v>
      </c>
      <c r="V142" s="31">
        <v>1.0</v>
      </c>
      <c r="W142" s="31">
        <v>1.0</v>
      </c>
      <c r="X142" s="31">
        <v>0.0</v>
      </c>
      <c r="Y142" s="31">
        <v>0.0</v>
      </c>
      <c r="Z142" s="31">
        <v>0.0</v>
      </c>
      <c r="AA142" s="31">
        <v>1.0</v>
      </c>
      <c r="AB142" s="31">
        <v>1.0</v>
      </c>
      <c r="AC142" s="31">
        <v>0.0</v>
      </c>
      <c r="AD142" s="31">
        <v>1.0</v>
      </c>
      <c r="AE142" s="31">
        <v>5.0</v>
      </c>
      <c r="AF142" s="31">
        <v>113.0</v>
      </c>
      <c r="AG142" s="31">
        <v>113.0</v>
      </c>
      <c r="AH142" s="13"/>
      <c r="AI142" s="10" t="s">
        <v>41</v>
      </c>
      <c r="AJ142" s="10" t="s">
        <v>1000</v>
      </c>
      <c r="AK142" s="29">
        <v>42209.0</v>
      </c>
      <c r="AL142" s="13">
        <v>1.0</v>
      </c>
      <c r="AM142" s="13">
        <v>1.0</v>
      </c>
      <c r="AN142" s="13">
        <v>0.0</v>
      </c>
      <c r="AO142" s="13">
        <v>1.0</v>
      </c>
      <c r="AP142" s="13">
        <v>0.0</v>
      </c>
      <c r="AQ142" s="13">
        <v>0.0</v>
      </c>
      <c r="AR142" s="13">
        <v>0.0</v>
      </c>
      <c r="AS142" s="13">
        <v>1.0</v>
      </c>
      <c r="AT142" s="13">
        <v>0.0</v>
      </c>
      <c r="AU142" s="13">
        <v>1.0</v>
      </c>
      <c r="AV142" s="13">
        <v>5.0</v>
      </c>
      <c r="AW142" s="13">
        <v>181.0</v>
      </c>
      <c r="AX142" s="13">
        <v>181.0</v>
      </c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7" t="s">
        <v>34</v>
      </c>
      <c r="S143" s="27" t="s">
        <v>1001</v>
      </c>
      <c r="T143" s="30">
        <v>44627.0</v>
      </c>
      <c r="U143" s="31">
        <v>0.0</v>
      </c>
      <c r="V143" s="31">
        <v>0.0</v>
      </c>
      <c r="W143" s="31">
        <v>1.0</v>
      </c>
      <c r="X143" s="31">
        <v>0.0</v>
      </c>
      <c r="Y143" s="31">
        <v>1.0</v>
      </c>
      <c r="Z143" s="31">
        <v>0.0</v>
      </c>
      <c r="AA143" s="31">
        <v>0.0</v>
      </c>
      <c r="AB143" s="31">
        <v>0.0</v>
      </c>
      <c r="AC143" s="31">
        <v>0.0</v>
      </c>
      <c r="AD143" s="31">
        <v>1.0</v>
      </c>
      <c r="AE143" s="31">
        <v>3.0</v>
      </c>
      <c r="AF143" s="31">
        <v>111.0</v>
      </c>
      <c r="AG143" s="31">
        <v>111.0</v>
      </c>
      <c r="AH143" s="13"/>
      <c r="AI143" s="10" t="s">
        <v>41</v>
      </c>
      <c r="AJ143" s="10" t="s">
        <v>1002</v>
      </c>
      <c r="AK143" s="29">
        <v>42416.0</v>
      </c>
      <c r="AL143" s="13">
        <v>0.0</v>
      </c>
      <c r="AM143" s="13">
        <v>0.0</v>
      </c>
      <c r="AN143" s="13">
        <v>0.0</v>
      </c>
      <c r="AO143" s="13">
        <v>1.0</v>
      </c>
      <c r="AP143" s="13">
        <v>0.0</v>
      </c>
      <c r="AQ143" s="13">
        <v>1.0</v>
      </c>
      <c r="AR143" s="13">
        <v>0.0</v>
      </c>
      <c r="AS143" s="13">
        <v>1.0</v>
      </c>
      <c r="AT143" s="13">
        <v>1.0</v>
      </c>
      <c r="AU143" s="13">
        <v>1.0</v>
      </c>
      <c r="AV143" s="13">
        <v>5.0</v>
      </c>
      <c r="AW143" s="13">
        <v>180.0</v>
      </c>
      <c r="AX143" s="13">
        <v>180.0</v>
      </c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7" t="s">
        <v>34</v>
      </c>
      <c r="S144" s="27" t="s">
        <v>1003</v>
      </c>
      <c r="T144" s="30">
        <v>44691.0</v>
      </c>
      <c r="U144" s="31">
        <v>0.0</v>
      </c>
      <c r="V144" s="31">
        <v>1.0</v>
      </c>
      <c r="W144" s="31">
        <v>1.0</v>
      </c>
      <c r="X144" s="31">
        <v>0.0</v>
      </c>
      <c r="Y144" s="31">
        <v>0.0</v>
      </c>
      <c r="Z144" s="31">
        <v>0.0</v>
      </c>
      <c r="AA144" s="31">
        <v>1.0</v>
      </c>
      <c r="AB144" s="31">
        <v>1.0</v>
      </c>
      <c r="AC144" s="31">
        <v>0.0</v>
      </c>
      <c r="AD144" s="31">
        <v>1.0</v>
      </c>
      <c r="AE144" s="31">
        <v>5.0</v>
      </c>
      <c r="AF144" s="31">
        <v>125.0</v>
      </c>
      <c r="AG144" s="31">
        <v>125.0</v>
      </c>
      <c r="AH144" s="13"/>
      <c r="AI144" s="10" t="s">
        <v>41</v>
      </c>
      <c r="AJ144" s="10" t="s">
        <v>1004</v>
      </c>
      <c r="AK144" s="29">
        <v>42782.0</v>
      </c>
      <c r="AL144" s="13">
        <v>1.0</v>
      </c>
      <c r="AM144" s="13">
        <v>0.0</v>
      </c>
      <c r="AN144" s="13">
        <v>1.0</v>
      </c>
      <c r="AO144" s="13">
        <v>1.0</v>
      </c>
      <c r="AP144" s="13">
        <v>0.0</v>
      </c>
      <c r="AQ144" s="13">
        <v>1.0</v>
      </c>
      <c r="AR144" s="13">
        <v>0.0</v>
      </c>
      <c r="AS144" s="13">
        <v>1.0</v>
      </c>
      <c r="AT144" s="13">
        <v>1.0</v>
      </c>
      <c r="AU144" s="13">
        <v>0.0</v>
      </c>
      <c r="AV144" s="13">
        <v>6.0</v>
      </c>
      <c r="AW144" s="13">
        <v>175.0</v>
      </c>
      <c r="AX144" s="13">
        <v>175.0</v>
      </c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7" t="s">
        <v>34</v>
      </c>
      <c r="S145" s="27" t="s">
        <v>743</v>
      </c>
      <c r="T145" s="30">
        <v>44704.0</v>
      </c>
      <c r="U145" s="31">
        <v>0.0</v>
      </c>
      <c r="V145" s="31">
        <v>1.0</v>
      </c>
      <c r="W145" s="31">
        <v>1.0</v>
      </c>
      <c r="X145" s="31">
        <v>0.0</v>
      </c>
      <c r="Y145" s="31">
        <v>0.0</v>
      </c>
      <c r="Z145" s="31">
        <v>0.0</v>
      </c>
      <c r="AA145" s="31">
        <v>1.0</v>
      </c>
      <c r="AB145" s="31">
        <v>1.0</v>
      </c>
      <c r="AC145" s="31">
        <v>0.0</v>
      </c>
      <c r="AD145" s="31">
        <v>1.0</v>
      </c>
      <c r="AE145" s="31">
        <v>5.0</v>
      </c>
      <c r="AF145" s="31">
        <v>124.0</v>
      </c>
      <c r="AG145" s="31">
        <v>124.0</v>
      </c>
      <c r="AH145" s="13"/>
      <c r="AI145" s="10" t="s">
        <v>41</v>
      </c>
      <c r="AJ145" s="10" t="s">
        <v>1005</v>
      </c>
      <c r="AK145" s="29">
        <v>42887.0</v>
      </c>
      <c r="AL145" s="13">
        <v>0.0</v>
      </c>
      <c r="AM145" s="13">
        <v>0.0</v>
      </c>
      <c r="AN145" s="13">
        <v>0.0</v>
      </c>
      <c r="AO145" s="13">
        <v>1.0</v>
      </c>
      <c r="AP145" s="13">
        <v>0.0</v>
      </c>
      <c r="AQ145" s="13">
        <v>1.0</v>
      </c>
      <c r="AR145" s="13">
        <v>0.0</v>
      </c>
      <c r="AS145" s="13">
        <v>1.0</v>
      </c>
      <c r="AT145" s="13">
        <v>1.0</v>
      </c>
      <c r="AU145" s="13">
        <v>0.0</v>
      </c>
      <c r="AV145" s="13">
        <v>4.0</v>
      </c>
      <c r="AW145" s="13">
        <v>175.0</v>
      </c>
      <c r="AX145" s="13">
        <v>175.0</v>
      </c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7" t="s">
        <v>34</v>
      </c>
      <c r="S146" s="27" t="s">
        <v>746</v>
      </c>
      <c r="T146" s="30">
        <v>44720.0</v>
      </c>
      <c r="U146" s="31">
        <v>0.0</v>
      </c>
      <c r="V146" s="31">
        <v>1.0</v>
      </c>
      <c r="W146" s="31">
        <v>1.0</v>
      </c>
      <c r="X146" s="31">
        <v>0.0</v>
      </c>
      <c r="Y146" s="31">
        <v>0.0</v>
      </c>
      <c r="Z146" s="31">
        <v>0.0</v>
      </c>
      <c r="AA146" s="31">
        <v>1.0</v>
      </c>
      <c r="AB146" s="31">
        <v>1.0</v>
      </c>
      <c r="AC146" s="31">
        <v>0.0</v>
      </c>
      <c r="AD146" s="31">
        <v>1.0</v>
      </c>
      <c r="AE146" s="31">
        <v>5.0</v>
      </c>
      <c r="AF146" s="31">
        <v>125.0</v>
      </c>
      <c r="AG146" s="31">
        <v>125.0</v>
      </c>
      <c r="AH146" s="13"/>
      <c r="AI146" s="10" t="s">
        <v>41</v>
      </c>
      <c r="AJ146" s="10" t="s">
        <v>1006</v>
      </c>
      <c r="AK146" s="29">
        <v>43270.0</v>
      </c>
      <c r="AL146" s="13">
        <v>0.0</v>
      </c>
      <c r="AM146" s="13">
        <v>0.0</v>
      </c>
      <c r="AN146" s="13">
        <v>0.0</v>
      </c>
      <c r="AO146" s="13">
        <v>1.0</v>
      </c>
      <c r="AP146" s="13">
        <v>0.0</v>
      </c>
      <c r="AQ146" s="13">
        <v>0.0</v>
      </c>
      <c r="AR146" s="13">
        <v>0.0</v>
      </c>
      <c r="AS146" s="13">
        <v>1.0</v>
      </c>
      <c r="AT146" s="13">
        <v>1.0</v>
      </c>
      <c r="AU146" s="13">
        <v>0.0</v>
      </c>
      <c r="AV146" s="13">
        <v>3.0</v>
      </c>
      <c r="AW146" s="13">
        <v>175.0</v>
      </c>
      <c r="AX146" s="13">
        <v>175.0</v>
      </c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7" t="s">
        <v>34</v>
      </c>
      <c r="S147" s="27" t="s">
        <v>749</v>
      </c>
      <c r="T147" s="30">
        <v>44737.0</v>
      </c>
      <c r="U147" s="31">
        <v>0.0</v>
      </c>
      <c r="V147" s="31">
        <v>1.0</v>
      </c>
      <c r="W147" s="31">
        <v>1.0</v>
      </c>
      <c r="X147" s="31">
        <v>0.0</v>
      </c>
      <c r="Y147" s="31">
        <v>0.0</v>
      </c>
      <c r="Z147" s="31">
        <v>0.0</v>
      </c>
      <c r="AA147" s="31">
        <v>1.0</v>
      </c>
      <c r="AB147" s="31">
        <v>1.0</v>
      </c>
      <c r="AC147" s="31">
        <v>0.0</v>
      </c>
      <c r="AD147" s="31">
        <v>1.0</v>
      </c>
      <c r="AE147" s="31">
        <v>5.0</v>
      </c>
      <c r="AF147" s="31">
        <v>124.0</v>
      </c>
      <c r="AG147" s="31">
        <v>124.0</v>
      </c>
      <c r="AH147" s="13"/>
      <c r="AI147" s="10" t="s">
        <v>41</v>
      </c>
      <c r="AJ147" s="10" t="s">
        <v>1007</v>
      </c>
      <c r="AK147" s="29">
        <v>43402.0</v>
      </c>
      <c r="AL147" s="13">
        <v>0.0</v>
      </c>
      <c r="AM147" s="13">
        <v>0.0</v>
      </c>
      <c r="AN147" s="13">
        <v>0.0</v>
      </c>
      <c r="AO147" s="13">
        <v>1.0</v>
      </c>
      <c r="AP147" s="13">
        <v>0.0</v>
      </c>
      <c r="AQ147" s="13">
        <v>1.0</v>
      </c>
      <c r="AR147" s="13">
        <v>0.0</v>
      </c>
      <c r="AS147" s="13">
        <v>0.0</v>
      </c>
      <c r="AT147" s="13">
        <v>1.0</v>
      </c>
      <c r="AU147" s="13">
        <v>0.0</v>
      </c>
      <c r="AV147" s="13">
        <v>3.0</v>
      </c>
      <c r="AW147" s="13">
        <v>179.0</v>
      </c>
      <c r="AX147" s="13">
        <v>179.0</v>
      </c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7" t="s">
        <v>34</v>
      </c>
      <c r="S148" s="27" t="s">
        <v>752</v>
      </c>
      <c r="T148" s="30">
        <v>44754.0</v>
      </c>
      <c r="U148" s="31">
        <v>0.0</v>
      </c>
      <c r="V148" s="31">
        <v>1.0</v>
      </c>
      <c r="W148" s="31">
        <v>1.0</v>
      </c>
      <c r="X148" s="31">
        <v>0.0</v>
      </c>
      <c r="Y148" s="31">
        <v>0.0</v>
      </c>
      <c r="Z148" s="31">
        <v>0.0</v>
      </c>
      <c r="AA148" s="31">
        <v>1.0</v>
      </c>
      <c r="AB148" s="31">
        <v>1.0</v>
      </c>
      <c r="AC148" s="31">
        <v>0.0</v>
      </c>
      <c r="AD148" s="31">
        <v>1.0</v>
      </c>
      <c r="AE148" s="31">
        <v>5.0</v>
      </c>
      <c r="AF148" s="31">
        <v>124.0</v>
      </c>
      <c r="AG148" s="31">
        <v>124.0</v>
      </c>
      <c r="AH148" s="13"/>
      <c r="AI148" s="10" t="s">
        <v>41</v>
      </c>
      <c r="AJ148" s="10" t="s">
        <v>1008</v>
      </c>
      <c r="AK148" s="29">
        <v>43653.0</v>
      </c>
      <c r="AL148" s="13">
        <v>0.0</v>
      </c>
      <c r="AM148" s="13">
        <v>0.0</v>
      </c>
      <c r="AN148" s="13">
        <v>0.0</v>
      </c>
      <c r="AO148" s="13">
        <v>1.0</v>
      </c>
      <c r="AP148" s="13">
        <v>0.0</v>
      </c>
      <c r="AQ148" s="13">
        <v>0.0</v>
      </c>
      <c r="AR148" s="13">
        <v>0.0</v>
      </c>
      <c r="AS148" s="13">
        <v>0.0</v>
      </c>
      <c r="AT148" s="13">
        <v>0.0</v>
      </c>
      <c r="AU148" s="13">
        <v>0.0</v>
      </c>
      <c r="AV148" s="13">
        <v>1.0</v>
      </c>
      <c r="AW148" s="13">
        <v>189.0</v>
      </c>
      <c r="AX148" s="13">
        <v>189.0</v>
      </c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7" t="s">
        <v>34</v>
      </c>
      <c r="S149" s="27" t="s">
        <v>754</v>
      </c>
      <c r="T149" s="30">
        <v>44775.0</v>
      </c>
      <c r="U149" s="31">
        <v>0.0</v>
      </c>
      <c r="V149" s="31">
        <v>1.0</v>
      </c>
      <c r="W149" s="31">
        <v>1.0</v>
      </c>
      <c r="X149" s="31">
        <v>0.0</v>
      </c>
      <c r="Y149" s="31">
        <v>0.0</v>
      </c>
      <c r="Z149" s="31">
        <v>0.0</v>
      </c>
      <c r="AA149" s="31">
        <v>1.0</v>
      </c>
      <c r="AB149" s="31">
        <v>1.0</v>
      </c>
      <c r="AC149" s="31">
        <v>0.0</v>
      </c>
      <c r="AD149" s="31">
        <v>1.0</v>
      </c>
      <c r="AE149" s="31">
        <v>5.0</v>
      </c>
      <c r="AF149" s="31">
        <v>123.0</v>
      </c>
      <c r="AG149" s="31">
        <v>123.0</v>
      </c>
      <c r="AH149" s="13"/>
      <c r="AI149" s="10" t="s">
        <v>41</v>
      </c>
      <c r="AJ149" s="10" t="s">
        <v>1009</v>
      </c>
      <c r="AK149" s="29">
        <v>43825.0</v>
      </c>
      <c r="AL149" s="13">
        <v>1.0</v>
      </c>
      <c r="AM149" s="13">
        <v>0.0</v>
      </c>
      <c r="AN149" s="13">
        <v>0.0</v>
      </c>
      <c r="AO149" s="13">
        <v>1.0</v>
      </c>
      <c r="AP149" s="13">
        <v>0.0</v>
      </c>
      <c r="AQ149" s="13">
        <v>1.0</v>
      </c>
      <c r="AR149" s="13">
        <v>0.0</v>
      </c>
      <c r="AS149" s="13">
        <v>0.0</v>
      </c>
      <c r="AT149" s="13">
        <v>0.0</v>
      </c>
      <c r="AU149" s="13">
        <v>0.0</v>
      </c>
      <c r="AV149" s="13">
        <v>3.0</v>
      </c>
      <c r="AW149" s="13">
        <v>191.0</v>
      </c>
      <c r="AX149" s="13">
        <v>191.0</v>
      </c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7" t="s">
        <v>34</v>
      </c>
      <c r="S150" s="27" t="s">
        <v>1010</v>
      </c>
      <c r="T150" s="30">
        <v>44812.0</v>
      </c>
      <c r="U150" s="31">
        <v>0.0</v>
      </c>
      <c r="V150" s="31">
        <v>1.0</v>
      </c>
      <c r="W150" s="31">
        <v>1.0</v>
      </c>
      <c r="X150" s="31">
        <v>0.0</v>
      </c>
      <c r="Y150" s="31">
        <v>0.0</v>
      </c>
      <c r="Z150" s="31">
        <v>0.0</v>
      </c>
      <c r="AA150" s="31">
        <v>1.0</v>
      </c>
      <c r="AB150" s="31">
        <v>1.0</v>
      </c>
      <c r="AC150" s="31">
        <v>0.0</v>
      </c>
      <c r="AD150" s="31">
        <v>1.0</v>
      </c>
      <c r="AE150" s="31">
        <v>5.0</v>
      </c>
      <c r="AF150" s="31">
        <v>147.0</v>
      </c>
      <c r="AG150" s="31">
        <v>147.0</v>
      </c>
      <c r="AH150" s="13"/>
      <c r="AI150" s="10" t="s">
        <v>41</v>
      </c>
      <c r="AJ150" s="10" t="s">
        <v>1011</v>
      </c>
      <c r="AK150" s="29">
        <v>44189.0</v>
      </c>
      <c r="AL150" s="13">
        <v>0.0</v>
      </c>
      <c r="AM150" s="13">
        <v>1.0</v>
      </c>
      <c r="AN150" s="13">
        <v>1.0</v>
      </c>
      <c r="AO150" s="13">
        <v>0.0</v>
      </c>
      <c r="AP150" s="13">
        <v>0.0</v>
      </c>
      <c r="AQ150" s="13">
        <v>0.0</v>
      </c>
      <c r="AR150" s="13">
        <v>1.0</v>
      </c>
      <c r="AS150" s="13">
        <v>1.0</v>
      </c>
      <c r="AT150" s="13">
        <v>1.0</v>
      </c>
      <c r="AU150" s="13">
        <v>1.0</v>
      </c>
      <c r="AV150" s="13">
        <v>6.0</v>
      </c>
      <c r="AW150" s="13">
        <v>185.0</v>
      </c>
      <c r="AX150" s="13">
        <v>185.0</v>
      </c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7" t="s">
        <v>34</v>
      </c>
      <c r="S151" s="27" t="s">
        <v>1012</v>
      </c>
      <c r="T151" s="30">
        <v>44824.0</v>
      </c>
      <c r="U151" s="31">
        <v>0.0</v>
      </c>
      <c r="V151" s="31">
        <v>1.0</v>
      </c>
      <c r="W151" s="31">
        <v>1.0</v>
      </c>
      <c r="X151" s="31">
        <v>0.0</v>
      </c>
      <c r="Y151" s="31">
        <v>0.0</v>
      </c>
      <c r="Z151" s="31">
        <v>0.0</v>
      </c>
      <c r="AA151" s="31">
        <v>1.0</v>
      </c>
      <c r="AB151" s="31">
        <v>1.0</v>
      </c>
      <c r="AC151" s="31">
        <v>0.0</v>
      </c>
      <c r="AD151" s="31">
        <v>1.0</v>
      </c>
      <c r="AE151" s="31">
        <v>5.0</v>
      </c>
      <c r="AF151" s="31">
        <v>151.0</v>
      </c>
      <c r="AG151" s="31">
        <v>151.0</v>
      </c>
      <c r="AH151" s="13"/>
      <c r="AI151" s="10" t="s">
        <v>41</v>
      </c>
      <c r="AJ151" s="10" t="s">
        <v>1013</v>
      </c>
      <c r="AK151" s="29">
        <v>44196.0</v>
      </c>
      <c r="AL151" s="13">
        <v>0.0</v>
      </c>
      <c r="AM151" s="13">
        <v>0.0</v>
      </c>
      <c r="AN151" s="13">
        <v>1.0</v>
      </c>
      <c r="AO151" s="13">
        <v>1.0</v>
      </c>
      <c r="AP151" s="13">
        <v>0.0</v>
      </c>
      <c r="AQ151" s="13">
        <v>1.0</v>
      </c>
      <c r="AR151" s="13">
        <v>1.0</v>
      </c>
      <c r="AS151" s="13">
        <v>1.0</v>
      </c>
      <c r="AT151" s="13">
        <v>1.0</v>
      </c>
      <c r="AU151" s="13">
        <v>1.0</v>
      </c>
      <c r="AV151" s="13">
        <v>7.0</v>
      </c>
      <c r="AW151" s="13">
        <v>186.0</v>
      </c>
      <c r="AX151" s="13">
        <v>186.0</v>
      </c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7" t="s">
        <v>34</v>
      </c>
      <c r="S152" s="27" t="s">
        <v>1014</v>
      </c>
      <c r="T152" s="30">
        <v>44831.0</v>
      </c>
      <c r="U152" s="31">
        <v>0.0</v>
      </c>
      <c r="V152" s="31">
        <v>1.0</v>
      </c>
      <c r="W152" s="31">
        <v>1.0</v>
      </c>
      <c r="X152" s="31">
        <v>0.0</v>
      </c>
      <c r="Y152" s="31">
        <v>0.0</v>
      </c>
      <c r="Z152" s="31">
        <v>0.0</v>
      </c>
      <c r="AA152" s="31">
        <v>1.0</v>
      </c>
      <c r="AB152" s="31">
        <v>1.0</v>
      </c>
      <c r="AC152" s="31">
        <v>0.0</v>
      </c>
      <c r="AD152" s="31">
        <v>1.0</v>
      </c>
      <c r="AE152" s="31">
        <v>5.0</v>
      </c>
      <c r="AF152" s="31">
        <v>151.0</v>
      </c>
      <c r="AG152" s="31">
        <v>151.0</v>
      </c>
      <c r="AH152" s="13"/>
      <c r="AI152" s="10" t="s">
        <v>41</v>
      </c>
      <c r="AJ152" s="10" t="s">
        <v>1015</v>
      </c>
      <c r="AK152" s="29">
        <v>44287.0</v>
      </c>
      <c r="AL152" s="13">
        <v>0.0</v>
      </c>
      <c r="AM152" s="13">
        <v>0.0</v>
      </c>
      <c r="AN152" s="13">
        <v>0.0</v>
      </c>
      <c r="AO152" s="13">
        <v>1.0</v>
      </c>
      <c r="AP152" s="13">
        <v>0.0</v>
      </c>
      <c r="AQ152" s="13">
        <v>0.0</v>
      </c>
      <c r="AR152" s="13">
        <v>0.0</v>
      </c>
      <c r="AS152" s="13">
        <v>0.0</v>
      </c>
      <c r="AT152" s="13">
        <v>1.0</v>
      </c>
      <c r="AU152" s="13">
        <v>0.0</v>
      </c>
      <c r="AV152" s="13">
        <v>2.0</v>
      </c>
      <c r="AW152" s="13">
        <v>192.0</v>
      </c>
      <c r="AX152" s="13">
        <v>192.0</v>
      </c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7" t="s">
        <v>34</v>
      </c>
      <c r="S153" s="27" t="s">
        <v>765</v>
      </c>
      <c r="T153" s="30">
        <v>44838.0</v>
      </c>
      <c r="U153" s="31">
        <v>0.0</v>
      </c>
      <c r="V153" s="31">
        <v>1.0</v>
      </c>
      <c r="W153" s="31">
        <v>1.0</v>
      </c>
      <c r="X153" s="31">
        <v>0.0</v>
      </c>
      <c r="Y153" s="31">
        <v>0.0</v>
      </c>
      <c r="Z153" s="31">
        <v>0.0</v>
      </c>
      <c r="AA153" s="31">
        <v>1.0</v>
      </c>
      <c r="AB153" s="31">
        <v>1.0</v>
      </c>
      <c r="AC153" s="31">
        <v>0.0</v>
      </c>
      <c r="AD153" s="31">
        <v>1.0</v>
      </c>
      <c r="AE153" s="31">
        <v>5.0</v>
      </c>
      <c r="AF153" s="31">
        <v>154.0</v>
      </c>
      <c r="AG153" s="31">
        <v>154.0</v>
      </c>
      <c r="AH153" s="13"/>
      <c r="AI153" s="10" t="s">
        <v>41</v>
      </c>
      <c r="AJ153" s="10" t="s">
        <v>1016</v>
      </c>
      <c r="AK153" s="29">
        <v>44423.0</v>
      </c>
      <c r="AL153" s="13">
        <v>0.0</v>
      </c>
      <c r="AM153" s="13">
        <v>1.0</v>
      </c>
      <c r="AN153" s="13">
        <v>0.0</v>
      </c>
      <c r="AO153" s="13">
        <v>0.0</v>
      </c>
      <c r="AP153" s="13">
        <v>0.0</v>
      </c>
      <c r="AQ153" s="13">
        <v>0.0</v>
      </c>
      <c r="AR153" s="13">
        <v>1.0</v>
      </c>
      <c r="AS153" s="13">
        <v>1.0</v>
      </c>
      <c r="AT153" s="13">
        <v>0.0</v>
      </c>
      <c r="AU153" s="13">
        <v>1.0</v>
      </c>
      <c r="AV153" s="13">
        <v>4.0</v>
      </c>
      <c r="AW153" s="13">
        <v>195.0</v>
      </c>
      <c r="AX153" s="13">
        <v>195.0</v>
      </c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7" t="s">
        <v>34</v>
      </c>
      <c r="S154" s="27" t="s">
        <v>767</v>
      </c>
      <c r="T154" s="30">
        <v>44847.0</v>
      </c>
      <c r="U154" s="31">
        <v>0.0</v>
      </c>
      <c r="V154" s="31">
        <v>1.0</v>
      </c>
      <c r="W154" s="31">
        <v>1.0</v>
      </c>
      <c r="X154" s="31">
        <v>0.0</v>
      </c>
      <c r="Y154" s="31">
        <v>0.0</v>
      </c>
      <c r="Z154" s="31">
        <v>0.0</v>
      </c>
      <c r="AA154" s="31">
        <v>1.0</v>
      </c>
      <c r="AB154" s="31">
        <v>1.0</v>
      </c>
      <c r="AC154" s="31">
        <v>0.0</v>
      </c>
      <c r="AD154" s="31">
        <v>1.0</v>
      </c>
      <c r="AE154" s="31">
        <v>5.0</v>
      </c>
      <c r="AF154" s="31">
        <v>154.0</v>
      </c>
      <c r="AG154" s="31">
        <v>154.0</v>
      </c>
      <c r="AH154" s="13"/>
      <c r="AI154" s="10" t="s">
        <v>41</v>
      </c>
      <c r="AJ154" s="10" t="s">
        <v>1017</v>
      </c>
      <c r="AK154" s="29">
        <v>44455.0</v>
      </c>
      <c r="AL154" s="13">
        <v>0.0</v>
      </c>
      <c r="AM154" s="13">
        <v>1.0</v>
      </c>
      <c r="AN154" s="13">
        <v>1.0</v>
      </c>
      <c r="AO154" s="13">
        <v>0.0</v>
      </c>
      <c r="AP154" s="13">
        <v>0.0</v>
      </c>
      <c r="AQ154" s="13">
        <v>0.0</v>
      </c>
      <c r="AR154" s="13">
        <v>1.0</v>
      </c>
      <c r="AS154" s="13">
        <v>1.0</v>
      </c>
      <c r="AT154" s="13">
        <v>0.0</v>
      </c>
      <c r="AU154" s="13">
        <v>1.0</v>
      </c>
      <c r="AV154" s="13">
        <v>5.0</v>
      </c>
      <c r="AW154" s="13">
        <v>195.0</v>
      </c>
      <c r="AX154" s="13">
        <v>195.0</v>
      </c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7" t="s">
        <v>34</v>
      </c>
      <c r="S155" s="27" t="s">
        <v>769</v>
      </c>
      <c r="T155" s="30">
        <v>44854.0</v>
      </c>
      <c r="U155" s="31">
        <v>0.0</v>
      </c>
      <c r="V155" s="31">
        <v>1.0</v>
      </c>
      <c r="W155" s="31">
        <v>1.0</v>
      </c>
      <c r="X155" s="31">
        <v>0.0</v>
      </c>
      <c r="Y155" s="31">
        <v>0.0</v>
      </c>
      <c r="Z155" s="31">
        <v>0.0</v>
      </c>
      <c r="AA155" s="31">
        <v>1.0</v>
      </c>
      <c r="AB155" s="31">
        <v>1.0</v>
      </c>
      <c r="AC155" s="31">
        <v>0.0</v>
      </c>
      <c r="AD155" s="31">
        <v>1.0</v>
      </c>
      <c r="AE155" s="31">
        <v>5.0</v>
      </c>
      <c r="AF155" s="31">
        <v>154.0</v>
      </c>
      <c r="AG155" s="31">
        <v>154.0</v>
      </c>
      <c r="AH155" s="13"/>
      <c r="AI155" s="10" t="s">
        <v>41</v>
      </c>
      <c r="AJ155" s="10" t="s">
        <v>1018</v>
      </c>
      <c r="AK155" s="29">
        <v>44498.0</v>
      </c>
      <c r="AL155" s="13">
        <v>0.0</v>
      </c>
      <c r="AM155" s="13">
        <v>1.0</v>
      </c>
      <c r="AN155" s="13">
        <v>1.0</v>
      </c>
      <c r="AO155" s="13">
        <v>0.0</v>
      </c>
      <c r="AP155" s="13">
        <v>0.0</v>
      </c>
      <c r="AQ155" s="13">
        <v>0.0</v>
      </c>
      <c r="AR155" s="13">
        <v>1.0</v>
      </c>
      <c r="AS155" s="13">
        <v>1.0</v>
      </c>
      <c r="AT155" s="13">
        <v>0.0</v>
      </c>
      <c r="AU155" s="13">
        <v>1.0</v>
      </c>
      <c r="AV155" s="13">
        <v>5.0</v>
      </c>
      <c r="AW155" s="13">
        <v>195.0</v>
      </c>
      <c r="AX155" s="13">
        <v>195.0</v>
      </c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7" t="s">
        <v>34</v>
      </c>
      <c r="S156" s="27" t="s">
        <v>771</v>
      </c>
      <c r="T156" s="30">
        <v>44862.0</v>
      </c>
      <c r="U156" s="31">
        <v>0.0</v>
      </c>
      <c r="V156" s="31">
        <v>0.0</v>
      </c>
      <c r="W156" s="31">
        <v>1.0</v>
      </c>
      <c r="X156" s="31">
        <v>0.0</v>
      </c>
      <c r="Y156" s="31">
        <v>0.0</v>
      </c>
      <c r="Z156" s="31">
        <v>0.0</v>
      </c>
      <c r="AA156" s="31">
        <v>0.0</v>
      </c>
      <c r="AB156" s="31">
        <v>1.0</v>
      </c>
      <c r="AC156" s="31">
        <v>0.0</v>
      </c>
      <c r="AD156" s="31">
        <v>1.0</v>
      </c>
      <c r="AE156" s="31">
        <v>3.0</v>
      </c>
      <c r="AF156" s="31">
        <v>154.0</v>
      </c>
      <c r="AG156" s="31">
        <v>154.0</v>
      </c>
      <c r="AH156" s="13"/>
      <c r="AI156" s="10" t="s">
        <v>41</v>
      </c>
      <c r="AJ156" s="10" t="s">
        <v>1019</v>
      </c>
      <c r="AK156" s="29">
        <v>44514.0</v>
      </c>
      <c r="AL156" s="13">
        <v>0.0</v>
      </c>
      <c r="AM156" s="13">
        <v>1.0</v>
      </c>
      <c r="AN156" s="13">
        <v>1.0</v>
      </c>
      <c r="AO156" s="13">
        <v>0.0</v>
      </c>
      <c r="AP156" s="13">
        <v>0.0</v>
      </c>
      <c r="AQ156" s="13">
        <v>0.0</v>
      </c>
      <c r="AR156" s="13">
        <v>0.0</v>
      </c>
      <c r="AS156" s="13">
        <v>1.0</v>
      </c>
      <c r="AT156" s="13">
        <v>0.0</v>
      </c>
      <c r="AU156" s="13">
        <v>1.0</v>
      </c>
      <c r="AV156" s="13">
        <v>4.0</v>
      </c>
      <c r="AW156" s="13">
        <v>191.0</v>
      </c>
      <c r="AX156" s="13">
        <v>191.0</v>
      </c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7" t="s">
        <v>34</v>
      </c>
      <c r="S157" s="27" t="s">
        <v>1020</v>
      </c>
      <c r="T157" s="30">
        <v>44957.0</v>
      </c>
      <c r="U157" s="31">
        <v>0.0</v>
      </c>
      <c r="V157" s="31">
        <v>1.0</v>
      </c>
      <c r="W157" s="31">
        <v>1.0</v>
      </c>
      <c r="X157" s="31">
        <v>0.0</v>
      </c>
      <c r="Y157" s="31">
        <v>0.0</v>
      </c>
      <c r="Z157" s="31">
        <v>0.0</v>
      </c>
      <c r="AA157" s="31">
        <v>1.0</v>
      </c>
      <c r="AB157" s="31">
        <v>1.0</v>
      </c>
      <c r="AC157" s="31">
        <v>0.0</v>
      </c>
      <c r="AD157" s="31">
        <v>1.0</v>
      </c>
      <c r="AE157" s="31">
        <v>5.0</v>
      </c>
      <c r="AF157" s="31">
        <v>182.0</v>
      </c>
      <c r="AG157" s="31">
        <v>182.0</v>
      </c>
      <c r="AH157" s="13"/>
      <c r="AI157" s="10" t="s">
        <v>41</v>
      </c>
      <c r="AJ157" s="10" t="s">
        <v>1021</v>
      </c>
      <c r="AK157" s="29">
        <v>44514.0</v>
      </c>
      <c r="AL157" s="13">
        <v>0.0</v>
      </c>
      <c r="AM157" s="13">
        <v>1.0</v>
      </c>
      <c r="AN157" s="13">
        <v>1.0</v>
      </c>
      <c r="AO157" s="13">
        <v>0.0</v>
      </c>
      <c r="AP157" s="13">
        <v>0.0</v>
      </c>
      <c r="AQ157" s="13">
        <v>0.0</v>
      </c>
      <c r="AR157" s="13">
        <v>0.0</v>
      </c>
      <c r="AS157" s="13">
        <v>1.0</v>
      </c>
      <c r="AT157" s="13">
        <v>0.0</v>
      </c>
      <c r="AU157" s="13">
        <v>1.0</v>
      </c>
      <c r="AV157" s="13">
        <v>4.0</v>
      </c>
      <c r="AW157" s="13">
        <v>195.0</v>
      </c>
      <c r="AX157" s="13">
        <v>195.0</v>
      </c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7" t="s">
        <v>34</v>
      </c>
      <c r="S158" s="27" t="s">
        <v>1022</v>
      </c>
      <c r="T158" s="30">
        <v>44984.0</v>
      </c>
      <c r="U158" s="31">
        <v>0.0</v>
      </c>
      <c r="V158" s="31">
        <v>1.0</v>
      </c>
      <c r="W158" s="31">
        <v>1.0</v>
      </c>
      <c r="X158" s="31">
        <v>0.0</v>
      </c>
      <c r="Y158" s="31">
        <v>0.0</v>
      </c>
      <c r="Z158" s="31">
        <v>0.0</v>
      </c>
      <c r="AA158" s="31">
        <v>1.0</v>
      </c>
      <c r="AB158" s="31">
        <v>1.0</v>
      </c>
      <c r="AC158" s="31">
        <v>0.0</v>
      </c>
      <c r="AD158" s="31">
        <v>1.0</v>
      </c>
      <c r="AE158" s="31">
        <v>5.0</v>
      </c>
      <c r="AF158" s="31">
        <v>193.0</v>
      </c>
      <c r="AG158" s="31">
        <v>193.0</v>
      </c>
      <c r="AH158" s="13"/>
      <c r="AI158" s="10" t="s">
        <v>41</v>
      </c>
      <c r="AJ158" s="10" t="s">
        <v>1023</v>
      </c>
      <c r="AK158" s="29">
        <v>44515.0</v>
      </c>
      <c r="AL158" s="13">
        <v>0.0</v>
      </c>
      <c r="AM158" s="13">
        <v>1.0</v>
      </c>
      <c r="AN158" s="13">
        <v>1.0</v>
      </c>
      <c r="AO158" s="13">
        <v>0.0</v>
      </c>
      <c r="AP158" s="13">
        <v>0.0</v>
      </c>
      <c r="AQ158" s="13">
        <v>0.0</v>
      </c>
      <c r="AR158" s="13">
        <v>1.0</v>
      </c>
      <c r="AS158" s="13">
        <v>1.0</v>
      </c>
      <c r="AT158" s="13">
        <v>0.0</v>
      </c>
      <c r="AU158" s="13">
        <v>1.0</v>
      </c>
      <c r="AV158" s="13">
        <v>5.0</v>
      </c>
      <c r="AW158" s="13">
        <v>191.0</v>
      </c>
      <c r="AX158" s="13">
        <v>191.0</v>
      </c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7" t="s">
        <v>34</v>
      </c>
      <c r="S159" s="27" t="s">
        <v>774</v>
      </c>
      <c r="T159" s="30">
        <v>44987.0</v>
      </c>
      <c r="U159" s="31">
        <v>0.0</v>
      </c>
      <c r="V159" s="31">
        <v>1.0</v>
      </c>
      <c r="W159" s="31">
        <v>1.0</v>
      </c>
      <c r="X159" s="31">
        <v>0.0</v>
      </c>
      <c r="Y159" s="31">
        <v>0.0</v>
      </c>
      <c r="Z159" s="31">
        <v>0.0</v>
      </c>
      <c r="AA159" s="31">
        <v>1.0</v>
      </c>
      <c r="AB159" s="31">
        <v>1.0</v>
      </c>
      <c r="AC159" s="31">
        <v>0.0</v>
      </c>
      <c r="AD159" s="31">
        <v>1.0</v>
      </c>
      <c r="AE159" s="31">
        <v>5.0</v>
      </c>
      <c r="AF159" s="31">
        <v>193.0</v>
      </c>
      <c r="AG159" s="31">
        <v>193.0</v>
      </c>
      <c r="AH159" s="13"/>
      <c r="AI159" s="10" t="s">
        <v>41</v>
      </c>
      <c r="AJ159" s="10" t="s">
        <v>1024</v>
      </c>
      <c r="AK159" s="29">
        <v>44522.0</v>
      </c>
      <c r="AL159" s="13">
        <v>0.0</v>
      </c>
      <c r="AM159" s="13">
        <v>1.0</v>
      </c>
      <c r="AN159" s="13">
        <v>1.0</v>
      </c>
      <c r="AO159" s="13">
        <v>0.0</v>
      </c>
      <c r="AP159" s="13">
        <v>0.0</v>
      </c>
      <c r="AQ159" s="13">
        <v>0.0</v>
      </c>
      <c r="AR159" s="13">
        <v>1.0</v>
      </c>
      <c r="AS159" s="13">
        <v>1.0</v>
      </c>
      <c r="AT159" s="13">
        <v>0.0</v>
      </c>
      <c r="AU159" s="13">
        <v>1.0</v>
      </c>
      <c r="AV159" s="13">
        <v>5.0</v>
      </c>
      <c r="AW159" s="13">
        <v>195.0</v>
      </c>
      <c r="AX159" s="13">
        <v>195.0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7" t="s">
        <v>34</v>
      </c>
      <c r="S160" s="27" t="s">
        <v>776</v>
      </c>
      <c r="T160" s="30">
        <v>44989.0</v>
      </c>
      <c r="U160" s="31">
        <v>0.0</v>
      </c>
      <c r="V160" s="31">
        <v>1.0</v>
      </c>
      <c r="W160" s="31">
        <v>1.0</v>
      </c>
      <c r="X160" s="31">
        <v>0.0</v>
      </c>
      <c r="Y160" s="31">
        <v>0.0</v>
      </c>
      <c r="Z160" s="31">
        <v>0.0</v>
      </c>
      <c r="AA160" s="31">
        <v>1.0</v>
      </c>
      <c r="AB160" s="31">
        <v>1.0</v>
      </c>
      <c r="AC160" s="31">
        <v>0.0</v>
      </c>
      <c r="AD160" s="31">
        <v>1.0</v>
      </c>
      <c r="AE160" s="31">
        <v>5.0</v>
      </c>
      <c r="AF160" s="31">
        <v>193.0</v>
      </c>
      <c r="AG160" s="31">
        <v>193.0</v>
      </c>
      <c r="AH160" s="13"/>
      <c r="AI160" s="10" t="s">
        <v>41</v>
      </c>
      <c r="AJ160" s="10" t="s">
        <v>1025</v>
      </c>
      <c r="AK160" s="29">
        <v>44530.0</v>
      </c>
      <c r="AL160" s="13">
        <v>0.0</v>
      </c>
      <c r="AM160" s="13">
        <v>1.0</v>
      </c>
      <c r="AN160" s="13">
        <v>1.0</v>
      </c>
      <c r="AO160" s="13">
        <v>0.0</v>
      </c>
      <c r="AP160" s="13">
        <v>0.0</v>
      </c>
      <c r="AQ160" s="13">
        <v>0.0</v>
      </c>
      <c r="AR160" s="13">
        <v>1.0</v>
      </c>
      <c r="AS160" s="13">
        <v>1.0</v>
      </c>
      <c r="AT160" s="13">
        <v>0.0</v>
      </c>
      <c r="AU160" s="13">
        <v>1.0</v>
      </c>
      <c r="AV160" s="13">
        <v>5.0</v>
      </c>
      <c r="AW160" s="13">
        <v>195.0</v>
      </c>
      <c r="AX160" s="13">
        <v>195.0</v>
      </c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7" t="s">
        <v>34</v>
      </c>
      <c r="S161" s="27" t="s">
        <v>778</v>
      </c>
      <c r="T161" s="30">
        <v>45002.0</v>
      </c>
      <c r="U161" s="31">
        <v>0.0</v>
      </c>
      <c r="V161" s="31">
        <v>1.0</v>
      </c>
      <c r="W161" s="31">
        <v>1.0</v>
      </c>
      <c r="X161" s="31">
        <v>0.0</v>
      </c>
      <c r="Y161" s="31">
        <v>0.0</v>
      </c>
      <c r="Z161" s="31">
        <v>0.0</v>
      </c>
      <c r="AA161" s="31">
        <v>1.0</v>
      </c>
      <c r="AB161" s="31">
        <v>1.0</v>
      </c>
      <c r="AC161" s="31">
        <v>0.0</v>
      </c>
      <c r="AD161" s="31">
        <v>1.0</v>
      </c>
      <c r="AE161" s="31">
        <v>5.0</v>
      </c>
      <c r="AF161" s="31">
        <v>195.0</v>
      </c>
      <c r="AG161" s="31">
        <v>195.0</v>
      </c>
      <c r="AH161" s="13"/>
      <c r="AI161" s="10" t="s">
        <v>41</v>
      </c>
      <c r="AJ161" s="10" t="s">
        <v>1026</v>
      </c>
      <c r="AK161" s="29">
        <v>44568.0</v>
      </c>
      <c r="AL161" s="13">
        <v>0.0</v>
      </c>
      <c r="AM161" s="13">
        <v>1.0</v>
      </c>
      <c r="AN161" s="13">
        <v>1.0</v>
      </c>
      <c r="AO161" s="13">
        <v>1.0</v>
      </c>
      <c r="AP161" s="13">
        <v>0.0</v>
      </c>
      <c r="AQ161" s="13">
        <v>0.0</v>
      </c>
      <c r="AR161" s="13">
        <v>1.0</v>
      </c>
      <c r="AS161" s="13">
        <v>1.0</v>
      </c>
      <c r="AT161" s="13">
        <v>1.0</v>
      </c>
      <c r="AU161" s="13">
        <v>1.0</v>
      </c>
      <c r="AV161" s="13">
        <v>7.0</v>
      </c>
      <c r="AW161" s="13">
        <v>195.0</v>
      </c>
      <c r="AX161" s="13">
        <v>195.0</v>
      </c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7" t="s">
        <v>34</v>
      </c>
      <c r="S162" s="27" t="s">
        <v>780</v>
      </c>
      <c r="T162" s="30">
        <v>45008.0</v>
      </c>
      <c r="U162" s="31">
        <v>0.0</v>
      </c>
      <c r="V162" s="31">
        <v>0.0</v>
      </c>
      <c r="W162" s="31">
        <v>1.0</v>
      </c>
      <c r="X162" s="31">
        <v>1.0</v>
      </c>
      <c r="Y162" s="31">
        <v>0.0</v>
      </c>
      <c r="Z162" s="31">
        <v>0.0</v>
      </c>
      <c r="AA162" s="31">
        <v>0.0</v>
      </c>
      <c r="AB162" s="31">
        <v>0.0</v>
      </c>
      <c r="AC162" s="31">
        <v>0.0</v>
      </c>
      <c r="AD162" s="31">
        <v>1.0</v>
      </c>
      <c r="AE162" s="31">
        <v>3.0</v>
      </c>
      <c r="AF162" s="31">
        <v>195.0</v>
      </c>
      <c r="AG162" s="31">
        <v>195.0</v>
      </c>
      <c r="AH162" s="13"/>
      <c r="AI162" s="10" t="s">
        <v>41</v>
      </c>
      <c r="AJ162" s="10" t="s">
        <v>1027</v>
      </c>
      <c r="AK162" s="29">
        <v>44621.0</v>
      </c>
      <c r="AL162" s="13">
        <v>1.0</v>
      </c>
      <c r="AM162" s="13">
        <v>0.0</v>
      </c>
      <c r="AN162" s="13">
        <v>1.0</v>
      </c>
      <c r="AO162" s="13">
        <v>1.0</v>
      </c>
      <c r="AP162" s="13">
        <v>0.0</v>
      </c>
      <c r="AQ162" s="13">
        <v>0.0</v>
      </c>
      <c r="AR162" s="13">
        <v>1.0</v>
      </c>
      <c r="AS162" s="13">
        <v>0.0</v>
      </c>
      <c r="AT162" s="13">
        <v>0.0</v>
      </c>
      <c r="AU162" s="13">
        <v>1.0</v>
      </c>
      <c r="AV162" s="13">
        <v>5.0</v>
      </c>
      <c r="AW162" s="13">
        <v>196.0</v>
      </c>
      <c r="AX162" s="13">
        <v>196.0</v>
      </c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7" t="s">
        <v>34</v>
      </c>
      <c r="S163" s="27" t="s">
        <v>782</v>
      </c>
      <c r="T163" s="30">
        <v>45145.0</v>
      </c>
      <c r="U163" s="31">
        <v>0.0</v>
      </c>
      <c r="V163" s="31">
        <v>1.0</v>
      </c>
      <c r="W163" s="31">
        <v>1.0</v>
      </c>
      <c r="X163" s="31">
        <v>0.0</v>
      </c>
      <c r="Y163" s="31">
        <v>0.0</v>
      </c>
      <c r="Z163" s="31">
        <v>0.0</v>
      </c>
      <c r="AA163" s="31">
        <v>1.0</v>
      </c>
      <c r="AB163" s="31">
        <v>1.0</v>
      </c>
      <c r="AC163" s="31">
        <v>0.0</v>
      </c>
      <c r="AD163" s="31">
        <v>1.0</v>
      </c>
      <c r="AE163" s="31">
        <v>5.0</v>
      </c>
      <c r="AF163" s="31">
        <v>195.0</v>
      </c>
      <c r="AG163" s="31">
        <v>195.0</v>
      </c>
      <c r="AH163" s="13"/>
      <c r="AI163" s="10" t="s">
        <v>41</v>
      </c>
      <c r="AJ163" s="10" t="s">
        <v>1028</v>
      </c>
      <c r="AK163" s="29">
        <v>44748.0</v>
      </c>
      <c r="AL163" s="13">
        <v>1.0</v>
      </c>
      <c r="AM163" s="13">
        <v>1.0</v>
      </c>
      <c r="AN163" s="13">
        <v>1.0</v>
      </c>
      <c r="AO163" s="13">
        <v>1.0</v>
      </c>
      <c r="AP163" s="13">
        <v>0.0</v>
      </c>
      <c r="AQ163" s="13">
        <v>0.0</v>
      </c>
      <c r="AR163" s="13">
        <v>1.0</v>
      </c>
      <c r="AS163" s="13">
        <v>1.0</v>
      </c>
      <c r="AT163" s="13">
        <v>0.0</v>
      </c>
      <c r="AU163" s="13">
        <v>1.0</v>
      </c>
      <c r="AV163" s="13">
        <v>7.0</v>
      </c>
      <c r="AW163" s="13">
        <v>197.0</v>
      </c>
      <c r="AX163" s="13">
        <v>197.0</v>
      </c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7" t="s">
        <v>34</v>
      </c>
      <c r="S164" s="27" t="s">
        <v>1029</v>
      </c>
      <c r="T164" s="30">
        <v>45147.0</v>
      </c>
      <c r="U164" s="31">
        <v>0.0</v>
      </c>
      <c r="V164" s="31">
        <v>1.0</v>
      </c>
      <c r="W164" s="31">
        <v>1.0</v>
      </c>
      <c r="X164" s="31">
        <v>0.0</v>
      </c>
      <c r="Y164" s="31">
        <v>0.0</v>
      </c>
      <c r="Z164" s="31">
        <v>0.0</v>
      </c>
      <c r="AA164" s="31">
        <v>1.0</v>
      </c>
      <c r="AB164" s="31">
        <v>1.0</v>
      </c>
      <c r="AC164" s="31">
        <v>0.0</v>
      </c>
      <c r="AD164" s="31">
        <v>1.0</v>
      </c>
      <c r="AE164" s="31">
        <v>5.0</v>
      </c>
      <c r="AF164" s="31">
        <v>249.0</v>
      </c>
      <c r="AG164" s="31">
        <v>249.0</v>
      </c>
      <c r="AH164" s="13"/>
      <c r="AI164" s="10" t="s">
        <v>41</v>
      </c>
      <c r="AJ164" s="10" t="s">
        <v>1030</v>
      </c>
      <c r="AK164" s="29">
        <v>44908.0</v>
      </c>
      <c r="AL164" s="13">
        <v>0.0</v>
      </c>
      <c r="AM164" s="13">
        <v>1.0</v>
      </c>
      <c r="AN164" s="13">
        <v>1.0</v>
      </c>
      <c r="AO164" s="13">
        <v>0.0</v>
      </c>
      <c r="AP164" s="13">
        <v>0.0</v>
      </c>
      <c r="AQ164" s="13">
        <v>0.0</v>
      </c>
      <c r="AR164" s="13">
        <v>1.0</v>
      </c>
      <c r="AS164" s="13">
        <v>1.0</v>
      </c>
      <c r="AT164" s="13">
        <v>0.0</v>
      </c>
      <c r="AU164" s="13">
        <v>1.0</v>
      </c>
      <c r="AV164" s="13">
        <v>5.0</v>
      </c>
      <c r="AW164" s="13">
        <v>197.0</v>
      </c>
      <c r="AX164" s="13">
        <v>197.0</v>
      </c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7" t="s">
        <v>34</v>
      </c>
      <c r="S165" s="27" t="s">
        <v>787</v>
      </c>
      <c r="T165" s="30">
        <v>45149.0</v>
      </c>
      <c r="U165" s="31">
        <v>0.0</v>
      </c>
      <c r="V165" s="31">
        <v>1.0</v>
      </c>
      <c r="W165" s="31">
        <v>1.0</v>
      </c>
      <c r="X165" s="31">
        <v>0.0</v>
      </c>
      <c r="Y165" s="31">
        <v>0.0</v>
      </c>
      <c r="Z165" s="31">
        <v>0.0</v>
      </c>
      <c r="AA165" s="31">
        <v>1.0</v>
      </c>
      <c r="AB165" s="31">
        <v>1.0</v>
      </c>
      <c r="AC165" s="31">
        <v>0.0</v>
      </c>
      <c r="AD165" s="31">
        <v>1.0</v>
      </c>
      <c r="AE165" s="31">
        <v>5.0</v>
      </c>
      <c r="AF165" s="31">
        <v>251.0</v>
      </c>
      <c r="AG165" s="31">
        <v>251.0</v>
      </c>
      <c r="AH165" s="13"/>
      <c r="AI165" s="10" t="s">
        <v>41</v>
      </c>
      <c r="AJ165" s="10" t="s">
        <v>1031</v>
      </c>
      <c r="AK165" s="29">
        <v>44917.0</v>
      </c>
      <c r="AL165" s="13">
        <v>1.0</v>
      </c>
      <c r="AM165" s="13">
        <v>1.0</v>
      </c>
      <c r="AN165" s="13">
        <v>1.0</v>
      </c>
      <c r="AO165" s="13">
        <v>1.0</v>
      </c>
      <c r="AP165" s="13">
        <v>0.0</v>
      </c>
      <c r="AQ165" s="13">
        <v>0.0</v>
      </c>
      <c r="AR165" s="13">
        <v>1.0</v>
      </c>
      <c r="AS165" s="13">
        <v>1.0</v>
      </c>
      <c r="AT165" s="13">
        <v>0.0</v>
      </c>
      <c r="AU165" s="13">
        <v>1.0</v>
      </c>
      <c r="AV165" s="13">
        <v>7.0</v>
      </c>
      <c r="AW165" s="13">
        <v>197.0</v>
      </c>
      <c r="AX165" s="13">
        <v>197.0</v>
      </c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7" t="s">
        <v>34</v>
      </c>
      <c r="S166" s="27" t="s">
        <v>1032</v>
      </c>
      <c r="T166" s="30">
        <v>45153.0</v>
      </c>
      <c r="U166" s="31">
        <v>0.0</v>
      </c>
      <c r="V166" s="31">
        <v>1.0</v>
      </c>
      <c r="W166" s="31">
        <v>1.0</v>
      </c>
      <c r="X166" s="31">
        <v>0.0</v>
      </c>
      <c r="Y166" s="31">
        <v>0.0</v>
      </c>
      <c r="Z166" s="31">
        <v>0.0</v>
      </c>
      <c r="AA166" s="31">
        <v>1.0</v>
      </c>
      <c r="AB166" s="31">
        <v>1.0</v>
      </c>
      <c r="AC166" s="31">
        <v>0.0</v>
      </c>
      <c r="AD166" s="31">
        <v>1.0</v>
      </c>
      <c r="AE166" s="31">
        <v>5.0</v>
      </c>
      <c r="AF166" s="31">
        <v>251.0</v>
      </c>
      <c r="AG166" s="31">
        <v>251.0</v>
      </c>
      <c r="AH166" s="13"/>
      <c r="AI166" s="10" t="s">
        <v>41</v>
      </c>
      <c r="AJ166" s="10" t="s">
        <v>1033</v>
      </c>
      <c r="AK166" s="29">
        <v>45017.0</v>
      </c>
      <c r="AL166" s="13">
        <v>1.0</v>
      </c>
      <c r="AM166" s="13">
        <v>1.0</v>
      </c>
      <c r="AN166" s="13">
        <v>1.0</v>
      </c>
      <c r="AO166" s="13">
        <v>1.0</v>
      </c>
      <c r="AP166" s="13">
        <v>0.0</v>
      </c>
      <c r="AQ166" s="13">
        <v>0.0</v>
      </c>
      <c r="AR166" s="13">
        <v>1.0</v>
      </c>
      <c r="AS166" s="13">
        <v>1.0</v>
      </c>
      <c r="AT166" s="13">
        <v>0.0</v>
      </c>
      <c r="AU166" s="13">
        <v>1.0</v>
      </c>
      <c r="AV166" s="13">
        <v>7.0</v>
      </c>
      <c r="AW166" s="13">
        <v>197.0</v>
      </c>
      <c r="AX166" s="13">
        <v>197.0</v>
      </c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7" t="s">
        <v>34</v>
      </c>
      <c r="S167" s="27" t="s">
        <v>789</v>
      </c>
      <c r="T167" s="30">
        <v>45170.0</v>
      </c>
      <c r="U167" s="31">
        <v>0.0</v>
      </c>
      <c r="V167" s="31">
        <v>1.0</v>
      </c>
      <c r="W167" s="31">
        <v>1.0</v>
      </c>
      <c r="X167" s="31">
        <v>0.0</v>
      </c>
      <c r="Y167" s="31">
        <v>0.0</v>
      </c>
      <c r="Z167" s="31">
        <v>0.0</v>
      </c>
      <c r="AA167" s="31">
        <v>1.0</v>
      </c>
      <c r="AB167" s="31">
        <v>1.0</v>
      </c>
      <c r="AC167" s="31">
        <v>0.0</v>
      </c>
      <c r="AD167" s="31">
        <v>1.0</v>
      </c>
      <c r="AE167" s="31">
        <v>5.0</v>
      </c>
      <c r="AF167" s="31">
        <v>253.0</v>
      </c>
      <c r="AG167" s="31">
        <v>253.0</v>
      </c>
      <c r="AH167" s="13"/>
      <c r="AI167" s="10" t="s">
        <v>41</v>
      </c>
      <c r="AJ167" s="10" t="s">
        <v>1034</v>
      </c>
      <c r="AK167" s="29">
        <v>45118.0</v>
      </c>
      <c r="AL167" s="13">
        <v>1.0</v>
      </c>
      <c r="AM167" s="13">
        <v>1.0</v>
      </c>
      <c r="AN167" s="13">
        <v>1.0</v>
      </c>
      <c r="AO167" s="13">
        <v>1.0</v>
      </c>
      <c r="AP167" s="13">
        <v>0.0</v>
      </c>
      <c r="AQ167" s="13">
        <v>0.0</v>
      </c>
      <c r="AR167" s="13">
        <v>1.0</v>
      </c>
      <c r="AS167" s="13">
        <v>1.0</v>
      </c>
      <c r="AT167" s="13">
        <v>0.0</v>
      </c>
      <c r="AU167" s="13">
        <v>1.0</v>
      </c>
      <c r="AV167" s="13">
        <v>7.0</v>
      </c>
      <c r="AW167" s="13">
        <v>197.0</v>
      </c>
      <c r="AX167" s="13">
        <v>197.0</v>
      </c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7" t="s">
        <v>34</v>
      </c>
      <c r="S168" s="27" t="s">
        <v>791</v>
      </c>
      <c r="T168" s="30">
        <v>45181.0</v>
      </c>
      <c r="U168" s="31">
        <v>0.0</v>
      </c>
      <c r="V168" s="31">
        <v>1.0</v>
      </c>
      <c r="W168" s="31">
        <v>1.0</v>
      </c>
      <c r="X168" s="31">
        <v>0.0</v>
      </c>
      <c r="Y168" s="31">
        <v>0.0</v>
      </c>
      <c r="Z168" s="31">
        <v>0.0</v>
      </c>
      <c r="AA168" s="31">
        <v>1.0</v>
      </c>
      <c r="AB168" s="31">
        <v>1.0</v>
      </c>
      <c r="AC168" s="31">
        <v>0.0</v>
      </c>
      <c r="AD168" s="31">
        <v>1.0</v>
      </c>
      <c r="AE168" s="31">
        <v>5.0</v>
      </c>
      <c r="AF168" s="31">
        <v>257.0</v>
      </c>
      <c r="AG168" s="31">
        <v>257.0</v>
      </c>
      <c r="AH168" s="13"/>
      <c r="AI168" s="10" t="s">
        <v>41</v>
      </c>
      <c r="AJ168" s="10" t="s">
        <v>1035</v>
      </c>
      <c r="AK168" s="29">
        <v>45204.0</v>
      </c>
      <c r="AL168" s="13">
        <v>1.0</v>
      </c>
      <c r="AM168" s="13">
        <v>1.0</v>
      </c>
      <c r="AN168" s="13">
        <v>1.0</v>
      </c>
      <c r="AO168" s="13">
        <v>1.0</v>
      </c>
      <c r="AP168" s="13">
        <v>0.0</v>
      </c>
      <c r="AQ168" s="13">
        <v>0.0</v>
      </c>
      <c r="AR168" s="13">
        <v>1.0</v>
      </c>
      <c r="AS168" s="13">
        <v>1.0</v>
      </c>
      <c r="AT168" s="13">
        <v>0.0</v>
      </c>
      <c r="AU168" s="13">
        <v>1.0</v>
      </c>
      <c r="AV168" s="13">
        <v>7.0</v>
      </c>
      <c r="AW168" s="13">
        <v>197.0</v>
      </c>
      <c r="AX168" s="13">
        <v>197.0</v>
      </c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7" t="s">
        <v>34</v>
      </c>
      <c r="S169" s="27" t="s">
        <v>1036</v>
      </c>
      <c r="T169" s="30">
        <v>45188.0</v>
      </c>
      <c r="U169" s="31">
        <v>0.0</v>
      </c>
      <c r="V169" s="31">
        <v>1.0</v>
      </c>
      <c r="W169" s="31">
        <v>1.0</v>
      </c>
      <c r="X169" s="31">
        <v>0.0</v>
      </c>
      <c r="Y169" s="31">
        <v>0.0</v>
      </c>
      <c r="Z169" s="31">
        <v>0.0</v>
      </c>
      <c r="AA169" s="31">
        <v>1.0</v>
      </c>
      <c r="AB169" s="31">
        <v>1.0</v>
      </c>
      <c r="AC169" s="31">
        <v>0.0</v>
      </c>
      <c r="AD169" s="31">
        <v>1.0</v>
      </c>
      <c r="AE169" s="31">
        <v>5.0</v>
      </c>
      <c r="AF169" s="31">
        <v>261.0</v>
      </c>
      <c r="AG169" s="31">
        <v>261.0</v>
      </c>
      <c r="AH169" s="13"/>
      <c r="AI169" s="10" t="s">
        <v>41</v>
      </c>
      <c r="AJ169" s="10" t="s">
        <v>1037</v>
      </c>
      <c r="AK169" s="29">
        <v>45309.0</v>
      </c>
      <c r="AL169" s="13">
        <v>1.0</v>
      </c>
      <c r="AM169" s="13">
        <v>1.0</v>
      </c>
      <c r="AN169" s="13">
        <v>1.0</v>
      </c>
      <c r="AO169" s="13">
        <v>1.0</v>
      </c>
      <c r="AP169" s="13">
        <v>0.0</v>
      </c>
      <c r="AQ169" s="13">
        <v>0.0</v>
      </c>
      <c r="AR169" s="13">
        <v>1.0</v>
      </c>
      <c r="AS169" s="13">
        <v>1.0</v>
      </c>
      <c r="AT169" s="13">
        <v>0.0</v>
      </c>
      <c r="AU169" s="13">
        <v>1.0</v>
      </c>
      <c r="AV169" s="13">
        <v>7.0</v>
      </c>
      <c r="AW169" s="13">
        <v>196.0</v>
      </c>
      <c r="AX169" s="13">
        <v>196.0</v>
      </c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7" t="s">
        <v>34</v>
      </c>
      <c r="S170" s="27" t="s">
        <v>1038</v>
      </c>
      <c r="T170" s="30">
        <v>45208.0</v>
      </c>
      <c r="U170" s="31">
        <v>0.0</v>
      </c>
      <c r="V170" s="31">
        <v>1.0</v>
      </c>
      <c r="W170" s="31">
        <v>1.0</v>
      </c>
      <c r="X170" s="31">
        <v>0.0</v>
      </c>
      <c r="Y170" s="31">
        <v>0.0</v>
      </c>
      <c r="Z170" s="31">
        <v>0.0</v>
      </c>
      <c r="AA170" s="31">
        <v>1.0</v>
      </c>
      <c r="AB170" s="31">
        <v>1.0</v>
      </c>
      <c r="AC170" s="31">
        <v>0.0</v>
      </c>
      <c r="AD170" s="31">
        <v>1.0</v>
      </c>
      <c r="AE170" s="31">
        <v>5.0</v>
      </c>
      <c r="AF170" s="31">
        <v>269.0</v>
      </c>
      <c r="AG170" s="31">
        <v>269.0</v>
      </c>
      <c r="AH170" s="13"/>
      <c r="AI170" s="10" t="s">
        <v>41</v>
      </c>
      <c r="AJ170" s="10" t="s">
        <v>1039</v>
      </c>
      <c r="AK170" s="29">
        <v>45424.0</v>
      </c>
      <c r="AL170" s="13">
        <v>0.0</v>
      </c>
      <c r="AM170" s="13">
        <v>1.0</v>
      </c>
      <c r="AN170" s="13">
        <v>1.0</v>
      </c>
      <c r="AO170" s="13">
        <v>0.0</v>
      </c>
      <c r="AP170" s="13">
        <v>0.0</v>
      </c>
      <c r="AQ170" s="13">
        <v>0.0</v>
      </c>
      <c r="AR170" s="13">
        <v>1.0</v>
      </c>
      <c r="AS170" s="13">
        <v>1.0</v>
      </c>
      <c r="AT170" s="13">
        <v>0.0</v>
      </c>
      <c r="AU170" s="13">
        <v>1.0</v>
      </c>
      <c r="AV170" s="13">
        <v>5.0</v>
      </c>
      <c r="AW170" s="13">
        <v>198.0</v>
      </c>
      <c r="AX170" s="13">
        <v>198.0</v>
      </c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7" t="s">
        <v>34</v>
      </c>
      <c r="S171" s="27" t="s">
        <v>1040</v>
      </c>
      <c r="T171" s="30">
        <v>45212.0</v>
      </c>
      <c r="U171" s="31">
        <v>1.0</v>
      </c>
      <c r="V171" s="31">
        <v>1.0</v>
      </c>
      <c r="W171" s="31">
        <v>1.0</v>
      </c>
      <c r="X171" s="31">
        <v>1.0</v>
      </c>
      <c r="Y171" s="31">
        <v>0.0</v>
      </c>
      <c r="Z171" s="31">
        <v>0.0</v>
      </c>
      <c r="AA171" s="31">
        <v>1.0</v>
      </c>
      <c r="AB171" s="31">
        <v>1.0</v>
      </c>
      <c r="AC171" s="31">
        <v>0.0</v>
      </c>
      <c r="AD171" s="31">
        <v>1.0</v>
      </c>
      <c r="AE171" s="31">
        <v>7.0</v>
      </c>
      <c r="AF171" s="31">
        <v>273.0</v>
      </c>
      <c r="AG171" s="31">
        <v>273.0</v>
      </c>
      <c r="AH171" s="13"/>
      <c r="AI171" s="10" t="s">
        <v>41</v>
      </c>
      <c r="AJ171" s="10" t="s">
        <v>1041</v>
      </c>
      <c r="AK171" s="29">
        <v>45431.0</v>
      </c>
      <c r="AL171" s="13">
        <v>0.0</v>
      </c>
      <c r="AM171" s="13">
        <v>1.0</v>
      </c>
      <c r="AN171" s="13">
        <v>1.0</v>
      </c>
      <c r="AO171" s="13">
        <v>0.0</v>
      </c>
      <c r="AP171" s="13">
        <v>0.0</v>
      </c>
      <c r="AQ171" s="13">
        <v>0.0</v>
      </c>
      <c r="AR171" s="13">
        <v>1.0</v>
      </c>
      <c r="AS171" s="13">
        <v>1.0</v>
      </c>
      <c r="AT171" s="13">
        <v>0.0</v>
      </c>
      <c r="AU171" s="13">
        <v>1.0</v>
      </c>
      <c r="AV171" s="13">
        <v>5.0</v>
      </c>
      <c r="AW171" s="13">
        <v>198.0</v>
      </c>
      <c r="AX171" s="13">
        <v>198.0</v>
      </c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7" t="s">
        <v>34</v>
      </c>
      <c r="S172" s="27" t="s">
        <v>1042</v>
      </c>
      <c r="T172" s="30">
        <v>45280.0</v>
      </c>
      <c r="U172" s="31">
        <v>0.0</v>
      </c>
      <c r="V172" s="31">
        <v>1.0</v>
      </c>
      <c r="W172" s="31">
        <v>1.0</v>
      </c>
      <c r="X172" s="31">
        <v>0.0</v>
      </c>
      <c r="Y172" s="31">
        <v>0.0</v>
      </c>
      <c r="Z172" s="31">
        <v>0.0</v>
      </c>
      <c r="AA172" s="31">
        <v>1.0</v>
      </c>
      <c r="AB172" s="31">
        <v>1.0</v>
      </c>
      <c r="AC172" s="31">
        <v>0.0</v>
      </c>
      <c r="AD172" s="31">
        <v>1.0</v>
      </c>
      <c r="AE172" s="31">
        <v>5.0</v>
      </c>
      <c r="AF172" s="31">
        <v>278.0</v>
      </c>
      <c r="AG172" s="31">
        <v>278.0</v>
      </c>
      <c r="AH172" s="13"/>
      <c r="AI172" s="10" t="s">
        <v>41</v>
      </c>
      <c r="AJ172" s="10" t="s">
        <v>1043</v>
      </c>
      <c r="AK172" s="29">
        <v>45449.0</v>
      </c>
      <c r="AL172" s="13">
        <v>0.0</v>
      </c>
      <c r="AM172" s="13">
        <v>1.0</v>
      </c>
      <c r="AN172" s="13">
        <v>1.0</v>
      </c>
      <c r="AO172" s="13">
        <v>0.0</v>
      </c>
      <c r="AP172" s="13">
        <v>0.0</v>
      </c>
      <c r="AQ172" s="13">
        <v>0.0</v>
      </c>
      <c r="AR172" s="13">
        <v>1.0</v>
      </c>
      <c r="AS172" s="13">
        <v>1.0</v>
      </c>
      <c r="AT172" s="13">
        <v>0.0</v>
      </c>
      <c r="AU172" s="13">
        <v>1.0</v>
      </c>
      <c r="AV172" s="13">
        <v>5.0</v>
      </c>
      <c r="AW172" s="13">
        <v>198.0</v>
      </c>
      <c r="AX172" s="13">
        <v>198.0</v>
      </c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7" t="s">
        <v>34</v>
      </c>
      <c r="S173" s="27" t="s">
        <v>1044</v>
      </c>
      <c r="T173" s="30">
        <v>45307.0</v>
      </c>
      <c r="U173" s="31">
        <v>0.0</v>
      </c>
      <c r="V173" s="31">
        <v>1.0</v>
      </c>
      <c r="W173" s="31">
        <v>1.0</v>
      </c>
      <c r="X173" s="31">
        <v>0.0</v>
      </c>
      <c r="Y173" s="31">
        <v>0.0</v>
      </c>
      <c r="Z173" s="31">
        <v>0.0</v>
      </c>
      <c r="AA173" s="31">
        <v>1.0</v>
      </c>
      <c r="AB173" s="31">
        <v>1.0</v>
      </c>
      <c r="AC173" s="31">
        <v>0.0</v>
      </c>
      <c r="AD173" s="31">
        <v>1.0</v>
      </c>
      <c r="AE173" s="31">
        <v>5.0</v>
      </c>
      <c r="AF173" s="31">
        <v>277.0</v>
      </c>
      <c r="AG173" s="31">
        <v>277.0</v>
      </c>
      <c r="AH173" s="13"/>
      <c r="AI173" s="10" t="s">
        <v>41</v>
      </c>
      <c r="AJ173" s="10" t="s">
        <v>1045</v>
      </c>
      <c r="AK173" s="29">
        <v>45454.0</v>
      </c>
      <c r="AL173" s="13">
        <v>1.0</v>
      </c>
      <c r="AM173" s="13">
        <v>1.0</v>
      </c>
      <c r="AN173" s="13">
        <v>1.0</v>
      </c>
      <c r="AO173" s="13">
        <v>1.0</v>
      </c>
      <c r="AP173" s="13">
        <v>0.0</v>
      </c>
      <c r="AQ173" s="13">
        <v>0.0</v>
      </c>
      <c r="AR173" s="13">
        <v>1.0</v>
      </c>
      <c r="AS173" s="13">
        <v>1.0</v>
      </c>
      <c r="AT173" s="13">
        <v>0.0</v>
      </c>
      <c r="AU173" s="13">
        <v>1.0</v>
      </c>
      <c r="AV173" s="13">
        <v>7.0</v>
      </c>
      <c r="AW173" s="13">
        <v>200.0</v>
      </c>
      <c r="AX173" s="13">
        <v>200.0</v>
      </c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7" t="s">
        <v>34</v>
      </c>
      <c r="S174" s="27" t="s">
        <v>751</v>
      </c>
      <c r="T174" s="30">
        <v>45314.0</v>
      </c>
      <c r="U174" s="31">
        <v>0.0</v>
      </c>
      <c r="V174" s="31">
        <v>1.0</v>
      </c>
      <c r="W174" s="31">
        <v>1.0</v>
      </c>
      <c r="X174" s="31">
        <v>0.0</v>
      </c>
      <c r="Y174" s="31">
        <v>0.0</v>
      </c>
      <c r="Z174" s="31">
        <v>0.0</v>
      </c>
      <c r="AA174" s="31">
        <v>1.0</v>
      </c>
      <c r="AB174" s="31">
        <v>1.0</v>
      </c>
      <c r="AC174" s="31">
        <v>0.0</v>
      </c>
      <c r="AD174" s="31">
        <v>1.0</v>
      </c>
      <c r="AE174" s="31">
        <v>5.0</v>
      </c>
      <c r="AF174" s="31">
        <v>278.0</v>
      </c>
      <c r="AG174" s="31">
        <v>278.0</v>
      </c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7" t="s">
        <v>34</v>
      </c>
      <c r="S175" s="27" t="s">
        <v>755</v>
      </c>
      <c r="T175" s="30">
        <v>45344.0</v>
      </c>
      <c r="U175" s="31">
        <v>0.0</v>
      </c>
      <c r="V175" s="31">
        <v>1.0</v>
      </c>
      <c r="W175" s="31">
        <v>1.0</v>
      </c>
      <c r="X175" s="31">
        <v>0.0</v>
      </c>
      <c r="Y175" s="31">
        <v>0.0</v>
      </c>
      <c r="Z175" s="31">
        <v>0.0</v>
      </c>
      <c r="AA175" s="31">
        <v>1.0</v>
      </c>
      <c r="AB175" s="31">
        <v>1.0</v>
      </c>
      <c r="AC175" s="31">
        <v>0.0</v>
      </c>
      <c r="AD175" s="31">
        <v>1.0</v>
      </c>
      <c r="AE175" s="31">
        <v>5.0</v>
      </c>
      <c r="AF175" s="31">
        <v>283.0</v>
      </c>
      <c r="AG175" s="31">
        <v>283.0</v>
      </c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7" t="s">
        <v>34</v>
      </c>
      <c r="S176" s="27" t="s">
        <v>815</v>
      </c>
      <c r="T176" s="30">
        <v>45350.0</v>
      </c>
      <c r="U176" s="31">
        <v>0.0</v>
      </c>
      <c r="V176" s="31">
        <v>1.0</v>
      </c>
      <c r="W176" s="31">
        <v>1.0</v>
      </c>
      <c r="X176" s="31">
        <v>0.0</v>
      </c>
      <c r="Y176" s="31">
        <v>0.0</v>
      </c>
      <c r="Z176" s="31">
        <v>0.0</v>
      </c>
      <c r="AA176" s="31">
        <v>1.0</v>
      </c>
      <c r="AB176" s="31">
        <v>1.0</v>
      </c>
      <c r="AC176" s="31">
        <v>0.0</v>
      </c>
      <c r="AD176" s="31">
        <v>1.0</v>
      </c>
      <c r="AE176" s="31">
        <v>5.0</v>
      </c>
      <c r="AF176" s="31">
        <v>283.0</v>
      </c>
      <c r="AG176" s="31">
        <v>283.0</v>
      </c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7" t="s">
        <v>34</v>
      </c>
      <c r="S177" s="27" t="s">
        <v>817</v>
      </c>
      <c r="T177" s="30">
        <v>45372.0</v>
      </c>
      <c r="U177" s="31">
        <v>0.0</v>
      </c>
      <c r="V177" s="31">
        <v>1.0</v>
      </c>
      <c r="W177" s="31">
        <v>1.0</v>
      </c>
      <c r="X177" s="31">
        <v>0.0</v>
      </c>
      <c r="Y177" s="31">
        <v>0.0</v>
      </c>
      <c r="Z177" s="31">
        <v>0.0</v>
      </c>
      <c r="AA177" s="31">
        <v>1.0</v>
      </c>
      <c r="AB177" s="31">
        <v>1.0</v>
      </c>
      <c r="AC177" s="31">
        <v>0.0</v>
      </c>
      <c r="AD177" s="31">
        <v>1.0</v>
      </c>
      <c r="AE177" s="31">
        <v>5.0</v>
      </c>
      <c r="AF177" s="31">
        <v>283.0</v>
      </c>
      <c r="AG177" s="31">
        <v>283.0</v>
      </c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7" t="s">
        <v>34</v>
      </c>
      <c r="S178" s="27" t="s">
        <v>819</v>
      </c>
      <c r="T178" s="30">
        <v>45390.0</v>
      </c>
      <c r="U178" s="31">
        <v>1.0</v>
      </c>
      <c r="V178" s="31">
        <v>1.0</v>
      </c>
      <c r="W178" s="31">
        <v>1.0</v>
      </c>
      <c r="X178" s="31">
        <v>1.0</v>
      </c>
      <c r="Y178" s="31">
        <v>0.0</v>
      </c>
      <c r="Z178" s="31">
        <v>0.0</v>
      </c>
      <c r="AA178" s="31">
        <v>1.0</v>
      </c>
      <c r="AB178" s="31">
        <v>1.0</v>
      </c>
      <c r="AC178" s="31">
        <v>0.0</v>
      </c>
      <c r="AD178" s="31">
        <v>1.0</v>
      </c>
      <c r="AE178" s="31">
        <v>7.0</v>
      </c>
      <c r="AF178" s="31">
        <v>283.0</v>
      </c>
      <c r="AG178" s="31">
        <v>283.0</v>
      </c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7" t="s">
        <v>33</v>
      </c>
      <c r="S179" s="27" t="s">
        <v>1046</v>
      </c>
      <c r="T179" s="30">
        <v>43042.0</v>
      </c>
      <c r="U179" s="31">
        <v>0.0</v>
      </c>
      <c r="V179" s="31">
        <v>1.0</v>
      </c>
      <c r="W179" s="31">
        <v>1.0</v>
      </c>
      <c r="X179" s="31">
        <v>0.0</v>
      </c>
      <c r="Y179" s="31">
        <v>0.0</v>
      </c>
      <c r="Z179" s="31">
        <v>0.0</v>
      </c>
      <c r="AA179" s="31">
        <v>1.0</v>
      </c>
      <c r="AB179" s="31">
        <v>1.0</v>
      </c>
      <c r="AC179" s="31">
        <v>0.0</v>
      </c>
      <c r="AD179" s="31">
        <v>1.0</v>
      </c>
      <c r="AE179" s="31">
        <v>5.0</v>
      </c>
      <c r="AF179" s="31">
        <v>30.0</v>
      </c>
      <c r="AG179" s="31">
        <v>30.0</v>
      </c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7" t="s">
        <v>33</v>
      </c>
      <c r="S180" s="27" t="s">
        <v>1047</v>
      </c>
      <c r="T180" s="30">
        <v>43044.0</v>
      </c>
      <c r="U180" s="31">
        <v>0.0</v>
      </c>
      <c r="V180" s="31">
        <v>1.0</v>
      </c>
      <c r="W180" s="31">
        <v>1.0</v>
      </c>
      <c r="X180" s="31">
        <v>0.0</v>
      </c>
      <c r="Y180" s="31">
        <v>0.0</v>
      </c>
      <c r="Z180" s="31">
        <v>0.0</v>
      </c>
      <c r="AA180" s="31">
        <v>1.0</v>
      </c>
      <c r="AB180" s="31">
        <v>1.0</v>
      </c>
      <c r="AC180" s="31">
        <v>0.0</v>
      </c>
      <c r="AD180" s="31">
        <v>1.0</v>
      </c>
      <c r="AE180" s="31">
        <v>5.0</v>
      </c>
      <c r="AF180" s="31">
        <v>30.0</v>
      </c>
      <c r="AG180" s="31">
        <v>30.0</v>
      </c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7" t="s">
        <v>33</v>
      </c>
      <c r="S181" s="27" t="s">
        <v>1048</v>
      </c>
      <c r="T181" s="30">
        <v>43049.0</v>
      </c>
      <c r="U181" s="31">
        <v>0.0</v>
      </c>
      <c r="V181" s="31">
        <v>1.0</v>
      </c>
      <c r="W181" s="31">
        <v>1.0</v>
      </c>
      <c r="X181" s="31">
        <v>1.0</v>
      </c>
      <c r="Y181" s="31">
        <v>0.0</v>
      </c>
      <c r="Z181" s="31">
        <v>0.0</v>
      </c>
      <c r="AA181" s="31">
        <v>0.0</v>
      </c>
      <c r="AB181" s="31">
        <v>0.0</v>
      </c>
      <c r="AC181" s="31">
        <v>0.0</v>
      </c>
      <c r="AD181" s="31">
        <v>1.0</v>
      </c>
      <c r="AE181" s="31">
        <v>4.0</v>
      </c>
      <c r="AF181" s="31">
        <v>30.0</v>
      </c>
      <c r="AG181" s="31">
        <v>30.0</v>
      </c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7" t="s">
        <v>33</v>
      </c>
      <c r="S182" s="27" t="s">
        <v>1049</v>
      </c>
      <c r="T182" s="30">
        <v>43215.0</v>
      </c>
      <c r="U182" s="31">
        <v>0.0</v>
      </c>
      <c r="V182" s="31">
        <v>1.0</v>
      </c>
      <c r="W182" s="31">
        <v>1.0</v>
      </c>
      <c r="X182" s="31">
        <v>0.0</v>
      </c>
      <c r="Y182" s="31">
        <v>0.0</v>
      </c>
      <c r="Z182" s="31">
        <v>0.0</v>
      </c>
      <c r="AA182" s="31">
        <v>1.0</v>
      </c>
      <c r="AB182" s="31">
        <v>1.0</v>
      </c>
      <c r="AC182" s="31">
        <v>0.0</v>
      </c>
      <c r="AD182" s="31">
        <v>1.0</v>
      </c>
      <c r="AE182" s="31">
        <v>5.0</v>
      </c>
      <c r="AF182" s="31">
        <v>33.0</v>
      </c>
      <c r="AG182" s="31">
        <v>33.0</v>
      </c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7" t="s">
        <v>33</v>
      </c>
      <c r="S183" s="27" t="s">
        <v>1050</v>
      </c>
      <c r="T183" s="30">
        <v>43242.0</v>
      </c>
      <c r="U183" s="31">
        <v>0.0</v>
      </c>
      <c r="V183" s="31">
        <v>0.0</v>
      </c>
      <c r="W183" s="31">
        <v>1.0</v>
      </c>
      <c r="X183" s="31">
        <v>1.0</v>
      </c>
      <c r="Y183" s="31">
        <v>0.0</v>
      </c>
      <c r="Z183" s="31">
        <v>0.0</v>
      </c>
      <c r="AA183" s="31">
        <v>0.0</v>
      </c>
      <c r="AB183" s="31">
        <v>0.0</v>
      </c>
      <c r="AC183" s="31">
        <v>0.0</v>
      </c>
      <c r="AD183" s="31">
        <v>1.0</v>
      </c>
      <c r="AE183" s="31">
        <v>3.0</v>
      </c>
      <c r="AF183" s="31">
        <v>33.0</v>
      </c>
      <c r="AG183" s="31">
        <v>33.0</v>
      </c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7" t="s">
        <v>33</v>
      </c>
      <c r="S184" s="27" t="s">
        <v>1051</v>
      </c>
      <c r="T184" s="30">
        <v>43441.0</v>
      </c>
      <c r="U184" s="31">
        <v>0.0</v>
      </c>
      <c r="V184" s="31">
        <v>1.0</v>
      </c>
      <c r="W184" s="31">
        <v>1.0</v>
      </c>
      <c r="X184" s="31">
        <v>0.0</v>
      </c>
      <c r="Y184" s="31">
        <v>0.0</v>
      </c>
      <c r="Z184" s="31">
        <v>0.0</v>
      </c>
      <c r="AA184" s="31">
        <v>1.0</v>
      </c>
      <c r="AB184" s="31">
        <v>1.0</v>
      </c>
      <c r="AC184" s="31">
        <v>0.0</v>
      </c>
      <c r="AD184" s="31">
        <v>1.0</v>
      </c>
      <c r="AE184" s="31">
        <v>5.0</v>
      </c>
      <c r="AF184" s="31">
        <v>54.0</v>
      </c>
      <c r="AG184" s="31">
        <v>54.0</v>
      </c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7" t="s">
        <v>33</v>
      </c>
      <c r="S185" s="27" t="s">
        <v>852</v>
      </c>
      <c r="T185" s="30">
        <v>43509.0</v>
      </c>
      <c r="U185" s="31">
        <v>1.0</v>
      </c>
      <c r="V185" s="31">
        <v>1.0</v>
      </c>
      <c r="W185" s="31">
        <v>1.0</v>
      </c>
      <c r="X185" s="31">
        <v>1.0</v>
      </c>
      <c r="Y185" s="31">
        <v>0.0</v>
      </c>
      <c r="Z185" s="31">
        <v>0.0</v>
      </c>
      <c r="AA185" s="31">
        <v>1.0</v>
      </c>
      <c r="AB185" s="31">
        <v>0.0</v>
      </c>
      <c r="AC185" s="31">
        <v>0.0</v>
      </c>
      <c r="AD185" s="31">
        <v>1.0</v>
      </c>
      <c r="AE185" s="31">
        <v>6.0</v>
      </c>
      <c r="AF185" s="31">
        <v>51.0</v>
      </c>
      <c r="AG185" s="31">
        <v>51.0</v>
      </c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7" t="s">
        <v>33</v>
      </c>
      <c r="S186" s="27" t="s">
        <v>1052</v>
      </c>
      <c r="T186" s="30">
        <v>43578.0</v>
      </c>
      <c r="U186" s="31">
        <v>0.0</v>
      </c>
      <c r="V186" s="31">
        <v>1.0</v>
      </c>
      <c r="W186" s="31">
        <v>1.0</v>
      </c>
      <c r="X186" s="31">
        <v>0.0</v>
      </c>
      <c r="Y186" s="31">
        <v>0.0</v>
      </c>
      <c r="Z186" s="31">
        <v>0.0</v>
      </c>
      <c r="AA186" s="31">
        <v>1.0</v>
      </c>
      <c r="AB186" s="31">
        <v>1.0</v>
      </c>
      <c r="AC186" s="31">
        <v>0.0</v>
      </c>
      <c r="AD186" s="31">
        <v>1.0</v>
      </c>
      <c r="AE186" s="31">
        <v>5.0</v>
      </c>
      <c r="AF186" s="31">
        <v>52.0</v>
      </c>
      <c r="AG186" s="31">
        <v>52.0</v>
      </c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7" t="s">
        <v>33</v>
      </c>
      <c r="S187" s="27" t="s">
        <v>1053</v>
      </c>
      <c r="T187" s="30">
        <v>43588.0</v>
      </c>
      <c r="U187" s="31">
        <v>1.0</v>
      </c>
      <c r="V187" s="31">
        <v>0.0</v>
      </c>
      <c r="W187" s="31">
        <v>1.0</v>
      </c>
      <c r="X187" s="31">
        <v>0.0</v>
      </c>
      <c r="Y187" s="31">
        <v>0.0</v>
      </c>
      <c r="Z187" s="31">
        <v>0.0</v>
      </c>
      <c r="AA187" s="31">
        <v>1.0</v>
      </c>
      <c r="AB187" s="31">
        <v>0.0</v>
      </c>
      <c r="AC187" s="31">
        <v>0.0</v>
      </c>
      <c r="AD187" s="31">
        <v>1.0</v>
      </c>
      <c r="AE187" s="31">
        <v>4.0</v>
      </c>
      <c r="AF187" s="31">
        <v>53.0</v>
      </c>
      <c r="AG187" s="31">
        <v>53.0</v>
      </c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7" t="s">
        <v>33</v>
      </c>
      <c r="S188" s="27" t="s">
        <v>1054</v>
      </c>
      <c r="T188" s="30">
        <v>43662.0</v>
      </c>
      <c r="U188" s="31">
        <v>0.0</v>
      </c>
      <c r="V188" s="31">
        <v>1.0</v>
      </c>
      <c r="W188" s="31">
        <v>1.0</v>
      </c>
      <c r="X188" s="31">
        <v>0.0</v>
      </c>
      <c r="Y188" s="31">
        <v>0.0</v>
      </c>
      <c r="Z188" s="31">
        <v>0.0</v>
      </c>
      <c r="AA188" s="31">
        <v>1.0</v>
      </c>
      <c r="AB188" s="31">
        <v>1.0</v>
      </c>
      <c r="AC188" s="31">
        <v>0.0</v>
      </c>
      <c r="AD188" s="31">
        <v>1.0</v>
      </c>
      <c r="AE188" s="31">
        <v>5.0</v>
      </c>
      <c r="AF188" s="31">
        <v>55.0</v>
      </c>
      <c r="AG188" s="31">
        <v>55.0</v>
      </c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7" t="s">
        <v>33</v>
      </c>
      <c r="S189" s="27" t="s">
        <v>854</v>
      </c>
      <c r="T189" s="30">
        <v>43687.0</v>
      </c>
      <c r="U189" s="31">
        <v>0.0</v>
      </c>
      <c r="V189" s="31">
        <v>1.0</v>
      </c>
      <c r="W189" s="31">
        <v>1.0</v>
      </c>
      <c r="X189" s="31">
        <v>0.0</v>
      </c>
      <c r="Y189" s="31">
        <v>0.0</v>
      </c>
      <c r="Z189" s="31">
        <v>0.0</v>
      </c>
      <c r="AA189" s="31">
        <v>1.0</v>
      </c>
      <c r="AB189" s="31">
        <v>1.0</v>
      </c>
      <c r="AC189" s="31">
        <v>0.0</v>
      </c>
      <c r="AD189" s="31">
        <v>1.0</v>
      </c>
      <c r="AE189" s="31">
        <v>5.0</v>
      </c>
      <c r="AF189" s="31">
        <v>59.0</v>
      </c>
      <c r="AG189" s="31">
        <v>59.0</v>
      </c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7" t="s">
        <v>33</v>
      </c>
      <c r="S190" s="27" t="s">
        <v>1055</v>
      </c>
      <c r="T190" s="30">
        <v>43696.0</v>
      </c>
      <c r="U190" s="31">
        <v>0.0</v>
      </c>
      <c r="V190" s="31">
        <v>1.0</v>
      </c>
      <c r="W190" s="31">
        <v>1.0</v>
      </c>
      <c r="X190" s="31">
        <v>0.0</v>
      </c>
      <c r="Y190" s="31">
        <v>0.0</v>
      </c>
      <c r="Z190" s="31">
        <v>0.0</v>
      </c>
      <c r="AA190" s="31">
        <v>1.0</v>
      </c>
      <c r="AB190" s="31">
        <v>1.0</v>
      </c>
      <c r="AC190" s="31">
        <v>0.0</v>
      </c>
      <c r="AD190" s="31">
        <v>1.0</v>
      </c>
      <c r="AE190" s="31">
        <v>5.0</v>
      </c>
      <c r="AF190" s="31">
        <v>59.0</v>
      </c>
      <c r="AG190" s="31">
        <v>59.0</v>
      </c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7" t="s">
        <v>33</v>
      </c>
      <c r="S191" s="27" t="s">
        <v>856</v>
      </c>
      <c r="T191" s="30">
        <v>43761.0</v>
      </c>
      <c r="U191" s="31">
        <v>0.0</v>
      </c>
      <c r="V191" s="31">
        <v>1.0</v>
      </c>
      <c r="W191" s="31">
        <v>1.0</v>
      </c>
      <c r="X191" s="31">
        <v>0.0</v>
      </c>
      <c r="Y191" s="31">
        <v>0.0</v>
      </c>
      <c r="Z191" s="31">
        <v>0.0</v>
      </c>
      <c r="AA191" s="31">
        <v>1.0</v>
      </c>
      <c r="AB191" s="31">
        <v>1.0</v>
      </c>
      <c r="AC191" s="31">
        <v>0.0</v>
      </c>
      <c r="AD191" s="31">
        <v>1.0</v>
      </c>
      <c r="AE191" s="31">
        <v>5.0</v>
      </c>
      <c r="AF191" s="31">
        <v>55.0</v>
      </c>
      <c r="AG191" s="31">
        <v>55.0</v>
      </c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7" t="s">
        <v>33</v>
      </c>
      <c r="S192" s="27" t="s">
        <v>1056</v>
      </c>
      <c r="T192" s="30">
        <v>43762.0</v>
      </c>
      <c r="U192" s="31">
        <v>0.0</v>
      </c>
      <c r="V192" s="31">
        <v>1.0</v>
      </c>
      <c r="W192" s="31">
        <v>1.0</v>
      </c>
      <c r="X192" s="31">
        <v>0.0</v>
      </c>
      <c r="Y192" s="31">
        <v>0.0</v>
      </c>
      <c r="Z192" s="31">
        <v>0.0</v>
      </c>
      <c r="AA192" s="31">
        <v>1.0</v>
      </c>
      <c r="AB192" s="31">
        <v>1.0</v>
      </c>
      <c r="AC192" s="31">
        <v>0.0</v>
      </c>
      <c r="AD192" s="31">
        <v>1.0</v>
      </c>
      <c r="AE192" s="31">
        <v>5.0</v>
      </c>
      <c r="AF192" s="31">
        <v>55.0</v>
      </c>
      <c r="AG192" s="31">
        <v>55.0</v>
      </c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7" t="s">
        <v>33</v>
      </c>
      <c r="S193" s="27" t="s">
        <v>570</v>
      </c>
      <c r="T193" s="30">
        <v>43785.0</v>
      </c>
      <c r="U193" s="31">
        <v>0.0</v>
      </c>
      <c r="V193" s="31">
        <v>1.0</v>
      </c>
      <c r="W193" s="31">
        <v>1.0</v>
      </c>
      <c r="X193" s="31">
        <v>0.0</v>
      </c>
      <c r="Y193" s="31">
        <v>0.0</v>
      </c>
      <c r="Z193" s="31">
        <v>0.0</v>
      </c>
      <c r="AA193" s="31">
        <v>1.0</v>
      </c>
      <c r="AB193" s="31">
        <v>1.0</v>
      </c>
      <c r="AC193" s="31">
        <v>0.0</v>
      </c>
      <c r="AD193" s="31">
        <v>1.0</v>
      </c>
      <c r="AE193" s="31">
        <v>5.0</v>
      </c>
      <c r="AF193" s="31">
        <v>57.0</v>
      </c>
      <c r="AG193" s="31">
        <v>57.0</v>
      </c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7" t="s">
        <v>33</v>
      </c>
      <c r="S194" s="27" t="s">
        <v>764</v>
      </c>
      <c r="T194" s="30">
        <v>43806.0</v>
      </c>
      <c r="U194" s="31">
        <v>0.0</v>
      </c>
      <c r="V194" s="31">
        <v>1.0</v>
      </c>
      <c r="W194" s="31">
        <v>1.0</v>
      </c>
      <c r="X194" s="31">
        <v>0.0</v>
      </c>
      <c r="Y194" s="31">
        <v>0.0</v>
      </c>
      <c r="Z194" s="31">
        <v>0.0</v>
      </c>
      <c r="AA194" s="31">
        <v>1.0</v>
      </c>
      <c r="AB194" s="31">
        <v>1.0</v>
      </c>
      <c r="AC194" s="31">
        <v>0.0</v>
      </c>
      <c r="AD194" s="31">
        <v>1.0</v>
      </c>
      <c r="AE194" s="31">
        <v>5.0</v>
      </c>
      <c r="AF194" s="31">
        <v>57.0</v>
      </c>
      <c r="AG194" s="31">
        <v>57.0</v>
      </c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7" t="s">
        <v>33</v>
      </c>
      <c r="S195" s="27" t="s">
        <v>766</v>
      </c>
      <c r="T195" s="30">
        <v>43847.0</v>
      </c>
      <c r="U195" s="31">
        <v>0.0</v>
      </c>
      <c r="V195" s="31">
        <v>1.0</v>
      </c>
      <c r="W195" s="31">
        <v>1.0</v>
      </c>
      <c r="X195" s="31">
        <v>0.0</v>
      </c>
      <c r="Y195" s="31">
        <v>0.0</v>
      </c>
      <c r="Z195" s="31">
        <v>0.0</v>
      </c>
      <c r="AA195" s="31">
        <v>1.0</v>
      </c>
      <c r="AB195" s="31">
        <v>1.0</v>
      </c>
      <c r="AC195" s="31">
        <v>0.0</v>
      </c>
      <c r="AD195" s="31">
        <v>1.0</v>
      </c>
      <c r="AE195" s="31">
        <v>5.0</v>
      </c>
      <c r="AF195" s="31">
        <v>60.0</v>
      </c>
      <c r="AG195" s="31">
        <v>60.0</v>
      </c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7" t="s">
        <v>33</v>
      </c>
      <c r="S196" s="27" t="s">
        <v>768</v>
      </c>
      <c r="T196" s="30">
        <v>43853.0</v>
      </c>
      <c r="U196" s="31">
        <v>0.0</v>
      </c>
      <c r="V196" s="31">
        <v>1.0</v>
      </c>
      <c r="W196" s="31">
        <v>1.0</v>
      </c>
      <c r="X196" s="31">
        <v>0.0</v>
      </c>
      <c r="Y196" s="31">
        <v>0.0</v>
      </c>
      <c r="Z196" s="31">
        <v>0.0</v>
      </c>
      <c r="AA196" s="31">
        <v>1.0</v>
      </c>
      <c r="AB196" s="31">
        <v>1.0</v>
      </c>
      <c r="AC196" s="31">
        <v>0.0</v>
      </c>
      <c r="AD196" s="31">
        <v>1.0</v>
      </c>
      <c r="AE196" s="31">
        <v>5.0</v>
      </c>
      <c r="AF196" s="31">
        <v>60.0</v>
      </c>
      <c r="AG196" s="31">
        <v>60.0</v>
      </c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7" t="s">
        <v>33</v>
      </c>
      <c r="S197" s="27" t="s">
        <v>770</v>
      </c>
      <c r="T197" s="30">
        <v>43898.0</v>
      </c>
      <c r="U197" s="31">
        <v>0.0</v>
      </c>
      <c r="V197" s="31">
        <v>1.0</v>
      </c>
      <c r="W197" s="31">
        <v>1.0</v>
      </c>
      <c r="X197" s="31">
        <v>0.0</v>
      </c>
      <c r="Y197" s="31">
        <v>0.0</v>
      </c>
      <c r="Z197" s="31">
        <v>0.0</v>
      </c>
      <c r="AA197" s="31">
        <v>1.0</v>
      </c>
      <c r="AB197" s="31">
        <v>1.0</v>
      </c>
      <c r="AC197" s="31">
        <v>0.0</v>
      </c>
      <c r="AD197" s="31">
        <v>1.0</v>
      </c>
      <c r="AE197" s="31">
        <v>5.0</v>
      </c>
      <c r="AF197" s="31">
        <v>60.0</v>
      </c>
      <c r="AG197" s="31">
        <v>60.0</v>
      </c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7" t="s">
        <v>33</v>
      </c>
      <c r="S198" s="27" t="s">
        <v>772</v>
      </c>
      <c r="T198" s="30">
        <v>43928.0</v>
      </c>
      <c r="U198" s="31">
        <v>1.0</v>
      </c>
      <c r="V198" s="31">
        <v>1.0</v>
      </c>
      <c r="W198" s="31">
        <v>1.0</v>
      </c>
      <c r="X198" s="31">
        <v>1.0</v>
      </c>
      <c r="Y198" s="31">
        <v>0.0</v>
      </c>
      <c r="Z198" s="31">
        <v>0.0</v>
      </c>
      <c r="AA198" s="31">
        <v>0.0</v>
      </c>
      <c r="AB198" s="31">
        <v>1.0</v>
      </c>
      <c r="AC198" s="31">
        <v>0.0</v>
      </c>
      <c r="AD198" s="31">
        <v>1.0</v>
      </c>
      <c r="AE198" s="31">
        <v>6.0</v>
      </c>
      <c r="AF198" s="31">
        <v>65.0</v>
      </c>
      <c r="AG198" s="31">
        <v>65.0</v>
      </c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7" t="s">
        <v>33</v>
      </c>
      <c r="S199" s="27" t="s">
        <v>773</v>
      </c>
      <c r="T199" s="30">
        <v>44032.0</v>
      </c>
      <c r="U199" s="31">
        <v>1.0</v>
      </c>
      <c r="V199" s="31">
        <v>1.0</v>
      </c>
      <c r="W199" s="31">
        <v>1.0</v>
      </c>
      <c r="X199" s="31">
        <v>1.0</v>
      </c>
      <c r="Y199" s="31">
        <v>0.0</v>
      </c>
      <c r="Z199" s="31">
        <v>0.0</v>
      </c>
      <c r="AA199" s="31">
        <v>1.0</v>
      </c>
      <c r="AB199" s="31">
        <v>1.0</v>
      </c>
      <c r="AC199" s="31">
        <v>0.0</v>
      </c>
      <c r="AD199" s="31">
        <v>1.0</v>
      </c>
      <c r="AE199" s="31">
        <v>7.0</v>
      </c>
      <c r="AF199" s="31">
        <v>75.0</v>
      </c>
      <c r="AG199" s="31">
        <v>75.0</v>
      </c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7" t="s">
        <v>33</v>
      </c>
      <c r="S200" s="27" t="s">
        <v>777</v>
      </c>
      <c r="T200" s="30">
        <v>44119.0</v>
      </c>
      <c r="U200" s="31">
        <v>0.0</v>
      </c>
      <c r="V200" s="31">
        <v>1.0</v>
      </c>
      <c r="W200" s="31">
        <v>1.0</v>
      </c>
      <c r="X200" s="31">
        <v>0.0</v>
      </c>
      <c r="Y200" s="31">
        <v>0.0</v>
      </c>
      <c r="Z200" s="31">
        <v>0.0</v>
      </c>
      <c r="AA200" s="31">
        <v>1.0</v>
      </c>
      <c r="AB200" s="31">
        <v>1.0</v>
      </c>
      <c r="AC200" s="31">
        <v>0.0</v>
      </c>
      <c r="AD200" s="31">
        <v>1.0</v>
      </c>
      <c r="AE200" s="31">
        <v>5.0</v>
      </c>
      <c r="AF200" s="31">
        <v>89.0</v>
      </c>
      <c r="AG200" s="31">
        <v>89.0</v>
      </c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7" t="s">
        <v>33</v>
      </c>
      <c r="S201" s="27" t="s">
        <v>779</v>
      </c>
      <c r="T201" s="30">
        <v>44152.0</v>
      </c>
      <c r="U201" s="31">
        <v>0.0</v>
      </c>
      <c r="V201" s="31">
        <v>1.0</v>
      </c>
      <c r="W201" s="31">
        <v>1.0</v>
      </c>
      <c r="X201" s="31">
        <v>0.0</v>
      </c>
      <c r="Y201" s="31">
        <v>0.0</v>
      </c>
      <c r="Z201" s="31">
        <v>0.0</v>
      </c>
      <c r="AA201" s="31">
        <v>1.0</v>
      </c>
      <c r="AB201" s="31">
        <v>1.0</v>
      </c>
      <c r="AC201" s="31">
        <v>0.0</v>
      </c>
      <c r="AD201" s="31">
        <v>1.0</v>
      </c>
      <c r="AE201" s="31">
        <v>5.0</v>
      </c>
      <c r="AF201" s="31">
        <v>89.0</v>
      </c>
      <c r="AG201" s="31">
        <v>89.0</v>
      </c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7" t="s">
        <v>33</v>
      </c>
      <c r="S202" s="27" t="s">
        <v>1057</v>
      </c>
      <c r="T202" s="30">
        <v>44228.0</v>
      </c>
      <c r="U202" s="31">
        <v>0.0</v>
      </c>
      <c r="V202" s="31">
        <v>1.0</v>
      </c>
      <c r="W202" s="31">
        <v>1.0</v>
      </c>
      <c r="X202" s="31">
        <v>0.0</v>
      </c>
      <c r="Y202" s="31">
        <v>0.0</v>
      </c>
      <c r="Z202" s="31">
        <v>0.0</v>
      </c>
      <c r="AA202" s="31">
        <v>1.0</v>
      </c>
      <c r="AB202" s="31">
        <v>1.0</v>
      </c>
      <c r="AC202" s="31">
        <v>0.0</v>
      </c>
      <c r="AD202" s="31">
        <v>1.0</v>
      </c>
      <c r="AE202" s="31">
        <v>5.0</v>
      </c>
      <c r="AF202" s="31">
        <v>89.0</v>
      </c>
      <c r="AG202" s="31">
        <v>89.0</v>
      </c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7" t="s">
        <v>33</v>
      </c>
      <c r="S203" s="27" t="s">
        <v>781</v>
      </c>
      <c r="T203" s="30">
        <v>44259.0</v>
      </c>
      <c r="U203" s="31">
        <v>1.0</v>
      </c>
      <c r="V203" s="31">
        <v>1.0</v>
      </c>
      <c r="W203" s="31">
        <v>1.0</v>
      </c>
      <c r="X203" s="31">
        <v>1.0</v>
      </c>
      <c r="Y203" s="31">
        <v>0.0</v>
      </c>
      <c r="Z203" s="31">
        <v>0.0</v>
      </c>
      <c r="AA203" s="31">
        <v>1.0</v>
      </c>
      <c r="AB203" s="31">
        <v>0.0</v>
      </c>
      <c r="AC203" s="31">
        <v>0.0</v>
      </c>
      <c r="AD203" s="31">
        <v>1.0</v>
      </c>
      <c r="AE203" s="31">
        <v>6.0</v>
      </c>
      <c r="AF203" s="31">
        <v>92.0</v>
      </c>
      <c r="AG203" s="31">
        <v>92.0</v>
      </c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7" t="s">
        <v>33</v>
      </c>
      <c r="S204" s="27" t="s">
        <v>783</v>
      </c>
      <c r="T204" s="30">
        <v>44383.0</v>
      </c>
      <c r="U204" s="31">
        <v>1.0</v>
      </c>
      <c r="V204" s="31">
        <v>1.0</v>
      </c>
      <c r="W204" s="31">
        <v>1.0</v>
      </c>
      <c r="X204" s="31">
        <v>1.0</v>
      </c>
      <c r="Y204" s="31">
        <v>0.0</v>
      </c>
      <c r="Z204" s="31">
        <v>1.0</v>
      </c>
      <c r="AA204" s="31">
        <v>1.0</v>
      </c>
      <c r="AB204" s="31">
        <v>1.0</v>
      </c>
      <c r="AC204" s="31">
        <v>0.0</v>
      </c>
      <c r="AD204" s="31">
        <v>1.0</v>
      </c>
      <c r="AE204" s="31">
        <v>8.0</v>
      </c>
      <c r="AF204" s="31">
        <v>97.0</v>
      </c>
      <c r="AG204" s="31">
        <v>97.0</v>
      </c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7" t="s">
        <v>33</v>
      </c>
      <c r="S205" s="27" t="s">
        <v>792</v>
      </c>
      <c r="T205" s="30">
        <v>44544.0</v>
      </c>
      <c r="U205" s="31">
        <v>1.0</v>
      </c>
      <c r="V205" s="31">
        <v>1.0</v>
      </c>
      <c r="W205" s="31">
        <v>1.0</v>
      </c>
      <c r="X205" s="31">
        <v>1.0</v>
      </c>
      <c r="Y205" s="31">
        <v>0.0</v>
      </c>
      <c r="Z205" s="31">
        <v>0.0</v>
      </c>
      <c r="AA205" s="31">
        <v>1.0</v>
      </c>
      <c r="AB205" s="31">
        <v>1.0</v>
      </c>
      <c r="AC205" s="31">
        <v>0.0</v>
      </c>
      <c r="AD205" s="31">
        <v>1.0</v>
      </c>
      <c r="AE205" s="31">
        <v>7.0</v>
      </c>
      <c r="AF205" s="31">
        <v>103.0</v>
      </c>
      <c r="AG205" s="31">
        <v>103.0</v>
      </c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7" t="s">
        <v>33</v>
      </c>
      <c r="S206" s="27" t="s">
        <v>1058</v>
      </c>
      <c r="T206" s="30">
        <v>44644.0</v>
      </c>
      <c r="U206" s="31">
        <v>1.0</v>
      </c>
      <c r="V206" s="31">
        <v>1.0</v>
      </c>
      <c r="W206" s="31">
        <v>1.0</v>
      </c>
      <c r="X206" s="31">
        <v>1.0</v>
      </c>
      <c r="Y206" s="31">
        <v>0.0</v>
      </c>
      <c r="Z206" s="31">
        <v>0.0</v>
      </c>
      <c r="AA206" s="31">
        <v>1.0</v>
      </c>
      <c r="AB206" s="31">
        <v>1.0</v>
      </c>
      <c r="AC206" s="31">
        <v>0.0</v>
      </c>
      <c r="AD206" s="31">
        <v>1.0</v>
      </c>
      <c r="AE206" s="31">
        <v>7.0</v>
      </c>
      <c r="AF206" s="31">
        <v>103.0</v>
      </c>
      <c r="AG206" s="31">
        <v>103.0</v>
      </c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7" t="s">
        <v>33</v>
      </c>
      <c r="S207" s="27" t="s">
        <v>1059</v>
      </c>
      <c r="T207" s="30">
        <v>44810.0</v>
      </c>
      <c r="U207" s="31">
        <v>0.0</v>
      </c>
      <c r="V207" s="31">
        <v>1.0</v>
      </c>
      <c r="W207" s="31">
        <v>1.0</v>
      </c>
      <c r="X207" s="31">
        <v>1.0</v>
      </c>
      <c r="Y207" s="31">
        <v>0.0</v>
      </c>
      <c r="Z207" s="31">
        <v>0.0</v>
      </c>
      <c r="AA207" s="31">
        <v>1.0</v>
      </c>
      <c r="AB207" s="31">
        <v>1.0</v>
      </c>
      <c r="AC207" s="31">
        <v>0.0</v>
      </c>
      <c r="AD207" s="31">
        <v>1.0</v>
      </c>
      <c r="AE207" s="31">
        <v>6.0</v>
      </c>
      <c r="AF207" s="31">
        <v>103.0</v>
      </c>
      <c r="AG207" s="31">
        <v>103.0</v>
      </c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7" t="s">
        <v>33</v>
      </c>
      <c r="S208" s="27" t="s">
        <v>1060</v>
      </c>
      <c r="T208" s="30">
        <v>44887.0</v>
      </c>
      <c r="U208" s="31">
        <v>0.0</v>
      </c>
      <c r="V208" s="31">
        <v>1.0</v>
      </c>
      <c r="W208" s="31">
        <v>1.0</v>
      </c>
      <c r="X208" s="31">
        <v>0.0</v>
      </c>
      <c r="Y208" s="31">
        <v>0.0</v>
      </c>
      <c r="Z208" s="31">
        <v>0.0</v>
      </c>
      <c r="AA208" s="31">
        <v>1.0</v>
      </c>
      <c r="AB208" s="31">
        <v>1.0</v>
      </c>
      <c r="AC208" s="31">
        <v>0.0</v>
      </c>
      <c r="AD208" s="31">
        <v>1.0</v>
      </c>
      <c r="AE208" s="31">
        <v>5.0</v>
      </c>
      <c r="AF208" s="31">
        <v>102.0</v>
      </c>
      <c r="AG208" s="31">
        <v>102.0</v>
      </c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7" t="s">
        <v>33</v>
      </c>
      <c r="S209" s="27" t="s">
        <v>1061</v>
      </c>
      <c r="T209" s="30">
        <v>44929.0</v>
      </c>
      <c r="U209" s="31">
        <v>1.0</v>
      </c>
      <c r="V209" s="31">
        <v>1.0</v>
      </c>
      <c r="W209" s="31">
        <v>1.0</v>
      </c>
      <c r="X209" s="31">
        <v>1.0</v>
      </c>
      <c r="Y209" s="31">
        <v>0.0</v>
      </c>
      <c r="Z209" s="31">
        <v>0.0</v>
      </c>
      <c r="AA209" s="31">
        <v>1.0</v>
      </c>
      <c r="AB209" s="31">
        <v>1.0</v>
      </c>
      <c r="AC209" s="31">
        <v>0.0</v>
      </c>
      <c r="AD209" s="31">
        <v>1.0</v>
      </c>
      <c r="AE209" s="31">
        <v>7.0</v>
      </c>
      <c r="AF209" s="31">
        <v>102.0</v>
      </c>
      <c r="AG209" s="31">
        <v>102.0</v>
      </c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7" t="s">
        <v>33</v>
      </c>
      <c r="S210" s="27" t="s">
        <v>1062</v>
      </c>
      <c r="T210" s="30">
        <v>45075.0</v>
      </c>
      <c r="U210" s="31">
        <v>1.0</v>
      </c>
      <c r="V210" s="31">
        <v>1.0</v>
      </c>
      <c r="W210" s="31">
        <v>1.0</v>
      </c>
      <c r="X210" s="31">
        <v>1.0</v>
      </c>
      <c r="Y210" s="31">
        <v>0.0</v>
      </c>
      <c r="Z210" s="31">
        <v>0.0</v>
      </c>
      <c r="AA210" s="31">
        <v>1.0</v>
      </c>
      <c r="AB210" s="31">
        <v>1.0</v>
      </c>
      <c r="AC210" s="31">
        <v>0.0</v>
      </c>
      <c r="AD210" s="31">
        <v>1.0</v>
      </c>
      <c r="AE210" s="31">
        <v>7.0</v>
      </c>
      <c r="AF210" s="31">
        <v>101.0</v>
      </c>
      <c r="AG210" s="31">
        <v>101.0</v>
      </c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7" t="s">
        <v>33</v>
      </c>
      <c r="S211" s="27" t="s">
        <v>1063</v>
      </c>
      <c r="T211" s="30">
        <v>45136.0</v>
      </c>
      <c r="U211" s="31">
        <v>1.0</v>
      </c>
      <c r="V211" s="31">
        <v>1.0</v>
      </c>
      <c r="W211" s="31">
        <v>1.0</v>
      </c>
      <c r="X211" s="31">
        <v>1.0</v>
      </c>
      <c r="Y211" s="31">
        <v>0.0</v>
      </c>
      <c r="Z211" s="31">
        <v>0.0</v>
      </c>
      <c r="AA211" s="31">
        <v>1.0</v>
      </c>
      <c r="AB211" s="31">
        <v>1.0</v>
      </c>
      <c r="AC211" s="31">
        <v>0.0</v>
      </c>
      <c r="AD211" s="31">
        <v>1.0</v>
      </c>
      <c r="AE211" s="31">
        <v>7.0</v>
      </c>
      <c r="AF211" s="31">
        <v>101.0</v>
      </c>
      <c r="AG211" s="31">
        <v>101.0</v>
      </c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7" t="s">
        <v>33</v>
      </c>
      <c r="S212" s="27" t="s">
        <v>794</v>
      </c>
      <c r="T212" s="30">
        <v>45341.0</v>
      </c>
      <c r="U212" s="31">
        <v>1.0</v>
      </c>
      <c r="V212" s="31">
        <v>1.0</v>
      </c>
      <c r="W212" s="31">
        <v>1.0</v>
      </c>
      <c r="X212" s="31">
        <v>1.0</v>
      </c>
      <c r="Y212" s="31">
        <v>0.0</v>
      </c>
      <c r="Z212" s="31">
        <v>0.0</v>
      </c>
      <c r="AA212" s="31">
        <v>1.0</v>
      </c>
      <c r="AB212" s="31">
        <v>1.0</v>
      </c>
      <c r="AC212" s="31">
        <v>0.0</v>
      </c>
      <c r="AD212" s="31">
        <v>1.0</v>
      </c>
      <c r="AE212" s="31">
        <v>7.0</v>
      </c>
      <c r="AF212" s="31">
        <v>101.0</v>
      </c>
      <c r="AG212" s="31">
        <v>101.0</v>
      </c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1064</v>
      </c>
      <c r="B1" s="6" t="s">
        <v>1065</v>
      </c>
      <c r="C1" s="32" t="s">
        <v>1066</v>
      </c>
      <c r="D1" s="11" t="s">
        <v>1067</v>
      </c>
      <c r="E1" s="11" t="s">
        <v>1068</v>
      </c>
    </row>
    <row r="2">
      <c r="A2" s="11" t="s">
        <v>1069</v>
      </c>
      <c r="B2" s="6" t="s">
        <v>47</v>
      </c>
      <c r="C2" s="32">
        <v>0.148</v>
      </c>
      <c r="D2" s="11">
        <v>0.43461</v>
      </c>
      <c r="E2" s="11" t="s">
        <v>1070</v>
      </c>
    </row>
    <row r="3">
      <c r="A3" s="11" t="s">
        <v>1069</v>
      </c>
      <c r="B3" s="6" t="s">
        <v>69</v>
      </c>
      <c r="C3" s="32">
        <v>0.417</v>
      </c>
      <c r="D3" s="11">
        <v>0.02178</v>
      </c>
      <c r="E3" s="11" t="s">
        <v>1071</v>
      </c>
    </row>
    <row r="4">
      <c r="A4" s="11" t="s">
        <v>1069</v>
      </c>
      <c r="B4" s="6" t="s">
        <v>86</v>
      </c>
      <c r="C4" s="33"/>
      <c r="E4" s="11" t="s">
        <v>1070</v>
      </c>
    </row>
    <row r="5">
      <c r="A5" s="11" t="s">
        <v>1069</v>
      </c>
      <c r="B5" s="6" t="s">
        <v>89</v>
      </c>
      <c r="C5" s="32">
        <v>0.008</v>
      </c>
      <c r="D5" s="11">
        <v>0.96472</v>
      </c>
      <c r="E5" s="11" t="s">
        <v>1070</v>
      </c>
    </row>
    <row r="6">
      <c r="A6" s="11" t="s">
        <v>1069</v>
      </c>
      <c r="B6" s="6" t="s">
        <v>108</v>
      </c>
      <c r="C6" s="32">
        <v>0.387</v>
      </c>
      <c r="D6" s="11">
        <v>0.03444</v>
      </c>
      <c r="E6" s="11" t="s">
        <v>1071</v>
      </c>
    </row>
    <row r="7">
      <c r="A7" s="11" t="s">
        <v>1069</v>
      </c>
      <c r="B7" s="6" t="s">
        <v>116</v>
      </c>
      <c r="C7" s="33"/>
      <c r="E7" s="11" t="s">
        <v>1070</v>
      </c>
    </row>
    <row r="8">
      <c r="A8" s="11" t="s">
        <v>1069</v>
      </c>
      <c r="B8" s="6" t="s">
        <v>128</v>
      </c>
      <c r="C8" s="32">
        <v>0.257</v>
      </c>
      <c r="D8" s="11">
        <v>0.17098</v>
      </c>
      <c r="E8" s="11" t="s">
        <v>1070</v>
      </c>
    </row>
    <row r="9">
      <c r="A9" s="11" t="s">
        <v>1069</v>
      </c>
      <c r="B9" s="6" t="s">
        <v>145</v>
      </c>
      <c r="C9" s="32">
        <v>0.322</v>
      </c>
      <c r="D9" s="11">
        <v>0.08319</v>
      </c>
      <c r="E9" s="11" t="s">
        <v>1070</v>
      </c>
    </row>
    <row r="10">
      <c r="A10" s="11" t="s">
        <v>1069</v>
      </c>
      <c r="B10" s="6" t="s">
        <v>157</v>
      </c>
      <c r="C10" s="32">
        <v>0.017</v>
      </c>
      <c r="D10" s="11">
        <v>0.92873</v>
      </c>
      <c r="E10" s="11" t="s">
        <v>1070</v>
      </c>
    </row>
    <row r="11">
      <c r="A11" s="11" t="s">
        <v>1069</v>
      </c>
      <c r="B11" s="6" t="s">
        <v>169</v>
      </c>
      <c r="C11" s="32">
        <v>0.291</v>
      </c>
      <c r="D11" s="11">
        <v>0.11917</v>
      </c>
      <c r="E11" s="11" t="s">
        <v>1070</v>
      </c>
    </row>
    <row r="12">
      <c r="A12" s="11"/>
      <c r="B12" s="6"/>
      <c r="C12" s="32"/>
      <c r="D12" s="11"/>
      <c r="E12" s="11"/>
    </row>
    <row r="13">
      <c r="A13" s="11" t="s">
        <v>1072</v>
      </c>
      <c r="B13" s="6" t="s">
        <v>47</v>
      </c>
      <c r="C13" s="32">
        <v>0.123</v>
      </c>
      <c r="D13" s="11">
        <v>0.29782</v>
      </c>
      <c r="E13" s="11" t="s">
        <v>1070</v>
      </c>
    </row>
    <row r="14">
      <c r="A14" s="11" t="s">
        <v>1072</v>
      </c>
      <c r="B14" s="6" t="s">
        <v>69</v>
      </c>
      <c r="C14" s="32">
        <v>-0.192</v>
      </c>
      <c r="D14" s="11">
        <v>0.1006</v>
      </c>
      <c r="E14" s="11" t="s">
        <v>1070</v>
      </c>
    </row>
    <row r="15">
      <c r="A15" s="11" t="s">
        <v>1072</v>
      </c>
      <c r="B15" s="6" t="s">
        <v>86</v>
      </c>
      <c r="C15" s="33"/>
      <c r="E15" s="11" t="s">
        <v>1070</v>
      </c>
    </row>
    <row r="16">
      <c r="A16" s="11" t="s">
        <v>1072</v>
      </c>
      <c r="B16" s="6" t="s">
        <v>89</v>
      </c>
      <c r="C16" s="32">
        <v>0.262</v>
      </c>
      <c r="D16" s="11">
        <v>0.02415</v>
      </c>
      <c r="E16" s="11" t="s">
        <v>1071</v>
      </c>
    </row>
    <row r="17">
      <c r="A17" s="11" t="s">
        <v>1072</v>
      </c>
      <c r="B17" s="6" t="s">
        <v>108</v>
      </c>
      <c r="C17" s="32">
        <v>0.108</v>
      </c>
      <c r="D17" s="11">
        <v>0.36188</v>
      </c>
      <c r="E17" s="11" t="s">
        <v>1070</v>
      </c>
    </row>
    <row r="18">
      <c r="A18" s="11" t="s">
        <v>1072</v>
      </c>
      <c r="B18" s="6" t="s">
        <v>116</v>
      </c>
      <c r="C18" s="32">
        <v>0.137</v>
      </c>
      <c r="D18" s="11">
        <v>0.24305</v>
      </c>
      <c r="E18" s="11" t="s">
        <v>1070</v>
      </c>
    </row>
    <row r="19">
      <c r="A19" s="11" t="s">
        <v>1072</v>
      </c>
      <c r="B19" s="6" t="s">
        <v>128</v>
      </c>
      <c r="C19" s="32">
        <v>0.383</v>
      </c>
      <c r="D19" s="11">
        <v>7.6E-4</v>
      </c>
      <c r="E19" s="11" t="s">
        <v>1071</v>
      </c>
    </row>
    <row r="20">
      <c r="A20" s="11" t="s">
        <v>1072</v>
      </c>
      <c r="B20" s="6" t="s">
        <v>145</v>
      </c>
      <c r="C20" s="32">
        <v>-0.108</v>
      </c>
      <c r="D20" s="11">
        <v>0.36188</v>
      </c>
      <c r="E20" s="11" t="s">
        <v>1070</v>
      </c>
    </row>
    <row r="21">
      <c r="A21" s="11" t="s">
        <v>1072</v>
      </c>
      <c r="B21" s="6" t="s">
        <v>157</v>
      </c>
      <c r="C21" s="32">
        <v>0.175</v>
      </c>
      <c r="D21" s="11">
        <v>0.13523</v>
      </c>
      <c r="E21" s="11" t="s">
        <v>1070</v>
      </c>
    </row>
    <row r="22">
      <c r="A22" s="11" t="s">
        <v>1072</v>
      </c>
      <c r="B22" s="6" t="s">
        <v>169</v>
      </c>
      <c r="C22" s="33"/>
      <c r="E22" s="11" t="s">
        <v>1070</v>
      </c>
    </row>
    <row r="23">
      <c r="A23" s="11"/>
      <c r="B23" s="6"/>
      <c r="C23" s="33"/>
      <c r="E23" s="11"/>
    </row>
    <row r="24">
      <c r="A24" s="11" t="s">
        <v>1073</v>
      </c>
      <c r="B24" s="6" t="s">
        <v>47</v>
      </c>
      <c r="C24" s="32">
        <v>0.387</v>
      </c>
      <c r="D24" s="11">
        <v>0.00349</v>
      </c>
      <c r="E24" s="11" t="s">
        <v>1071</v>
      </c>
    </row>
    <row r="25">
      <c r="A25" s="11" t="s">
        <v>1073</v>
      </c>
      <c r="B25" s="6" t="s">
        <v>69</v>
      </c>
      <c r="C25" s="32">
        <v>0.219</v>
      </c>
      <c r="D25" s="11">
        <v>0.10862</v>
      </c>
      <c r="E25" s="11" t="s">
        <v>1070</v>
      </c>
    </row>
    <row r="26">
      <c r="A26" s="11" t="s">
        <v>1073</v>
      </c>
      <c r="B26" s="6" t="s">
        <v>86</v>
      </c>
      <c r="C26" s="33"/>
      <c r="E26" s="11" t="s">
        <v>1070</v>
      </c>
    </row>
    <row r="27">
      <c r="A27" s="11" t="s">
        <v>1073</v>
      </c>
      <c r="B27" s="6" t="s">
        <v>89</v>
      </c>
      <c r="C27" s="32">
        <v>-0.278</v>
      </c>
      <c r="D27" s="11">
        <v>0.04014</v>
      </c>
      <c r="E27" s="11" t="s">
        <v>1071</v>
      </c>
    </row>
    <row r="28">
      <c r="A28" s="11" t="s">
        <v>1073</v>
      </c>
      <c r="B28" s="6" t="s">
        <v>108</v>
      </c>
      <c r="C28" s="32">
        <v>0.019</v>
      </c>
      <c r="D28" s="11">
        <v>0.88789</v>
      </c>
      <c r="E28" s="11" t="s">
        <v>1070</v>
      </c>
    </row>
    <row r="29">
      <c r="A29" s="11" t="s">
        <v>1073</v>
      </c>
      <c r="B29" s="6" t="s">
        <v>116</v>
      </c>
      <c r="C29" s="33"/>
      <c r="E29" s="11" t="s">
        <v>1070</v>
      </c>
    </row>
    <row r="30">
      <c r="A30" s="11" t="s">
        <v>1073</v>
      </c>
      <c r="B30" s="6" t="s">
        <v>128</v>
      </c>
      <c r="C30" s="32">
        <v>0.426</v>
      </c>
      <c r="D30" s="11">
        <v>0.00117</v>
      </c>
      <c r="E30" s="11" t="s">
        <v>1071</v>
      </c>
    </row>
    <row r="31">
      <c r="A31" s="11" t="s">
        <v>1073</v>
      </c>
      <c r="B31" s="6" t="s">
        <v>145</v>
      </c>
      <c r="C31" s="32">
        <v>0.16</v>
      </c>
      <c r="D31" s="11">
        <v>0.24259</v>
      </c>
      <c r="E31" s="11" t="s">
        <v>1070</v>
      </c>
    </row>
    <row r="32">
      <c r="A32" s="11" t="s">
        <v>1073</v>
      </c>
      <c r="B32" s="6" t="s">
        <v>157</v>
      </c>
      <c r="C32" s="32">
        <v>-0.538</v>
      </c>
      <c r="D32" s="34">
        <v>2.0E-5</v>
      </c>
      <c r="E32" s="11" t="s">
        <v>1071</v>
      </c>
    </row>
    <row r="33">
      <c r="A33" s="11" t="s">
        <v>1073</v>
      </c>
      <c r="B33" s="6" t="s">
        <v>169</v>
      </c>
      <c r="C33" s="33"/>
      <c r="E33" s="11" t="s">
        <v>1070</v>
      </c>
    </row>
    <row r="34">
      <c r="A34" s="11"/>
      <c r="B34" s="6"/>
      <c r="C34" s="33"/>
      <c r="E34" s="11"/>
    </row>
    <row r="35">
      <c r="A35" s="11" t="s">
        <v>1074</v>
      </c>
      <c r="B35" s="6" t="s">
        <v>47</v>
      </c>
      <c r="C35" s="32">
        <v>0.402</v>
      </c>
      <c r="D35" s="11">
        <v>0.02263</v>
      </c>
      <c r="E35" s="11" t="s">
        <v>1071</v>
      </c>
    </row>
    <row r="36">
      <c r="A36" s="11" t="s">
        <v>1074</v>
      </c>
      <c r="B36" s="6" t="s">
        <v>69</v>
      </c>
      <c r="C36" s="32">
        <v>0.565</v>
      </c>
      <c r="D36" s="11">
        <v>7.6E-4</v>
      </c>
      <c r="E36" s="11" t="s">
        <v>1071</v>
      </c>
    </row>
    <row r="37">
      <c r="A37" s="11" t="s">
        <v>1074</v>
      </c>
      <c r="B37" s="6" t="s">
        <v>86</v>
      </c>
      <c r="C37" s="32">
        <v>0.604</v>
      </c>
      <c r="D37" s="11">
        <v>2.5E-4</v>
      </c>
      <c r="E37" s="11" t="s">
        <v>1071</v>
      </c>
    </row>
    <row r="38">
      <c r="A38" s="11" t="s">
        <v>1074</v>
      </c>
      <c r="B38" s="6" t="s">
        <v>89</v>
      </c>
      <c r="C38" s="32">
        <v>-0.224</v>
      </c>
      <c r="D38" s="11">
        <v>0.21803</v>
      </c>
      <c r="E38" s="11" t="s">
        <v>1070</v>
      </c>
    </row>
    <row r="39">
      <c r="A39" s="11" t="s">
        <v>1074</v>
      </c>
      <c r="B39" s="6" t="s">
        <v>108</v>
      </c>
      <c r="C39" s="33"/>
      <c r="E39" s="11" t="s">
        <v>1070</v>
      </c>
    </row>
    <row r="40">
      <c r="A40" s="11" t="s">
        <v>1074</v>
      </c>
      <c r="B40" s="6" t="s">
        <v>116</v>
      </c>
      <c r="C40" s="32">
        <v>-0.455</v>
      </c>
      <c r="D40" s="11">
        <v>0.00894</v>
      </c>
      <c r="E40" s="11" t="s">
        <v>1071</v>
      </c>
    </row>
    <row r="41">
      <c r="A41" s="11" t="s">
        <v>1074</v>
      </c>
      <c r="B41" s="6" t="s">
        <v>128</v>
      </c>
      <c r="C41" s="32">
        <v>0.689</v>
      </c>
      <c r="D41" s="34">
        <v>1.0E-5</v>
      </c>
      <c r="E41" s="11" t="s">
        <v>1071</v>
      </c>
    </row>
    <row r="42">
      <c r="A42" s="11" t="s">
        <v>1074</v>
      </c>
      <c r="B42" s="6" t="s">
        <v>145</v>
      </c>
      <c r="C42" s="32">
        <v>0.131</v>
      </c>
      <c r="D42" s="11">
        <v>0.4737</v>
      </c>
      <c r="E42" s="11" t="s">
        <v>1070</v>
      </c>
    </row>
    <row r="43">
      <c r="A43" s="11" t="s">
        <v>1074</v>
      </c>
      <c r="B43" s="6" t="s">
        <v>157</v>
      </c>
      <c r="C43" s="32">
        <v>-0.578</v>
      </c>
      <c r="D43" s="11">
        <v>5.3E-4</v>
      </c>
      <c r="E43" s="11" t="s">
        <v>1071</v>
      </c>
    </row>
    <row r="44">
      <c r="A44" s="11" t="s">
        <v>1074</v>
      </c>
      <c r="B44" s="6" t="s">
        <v>169</v>
      </c>
      <c r="C44" s="32">
        <v>0.616</v>
      </c>
      <c r="D44" s="11">
        <v>1.8E-4</v>
      </c>
      <c r="E44" s="11" t="s">
        <v>1071</v>
      </c>
    </row>
    <row r="45">
      <c r="A45" s="11"/>
      <c r="B45" s="6"/>
      <c r="C45" s="32"/>
      <c r="D45" s="11"/>
      <c r="E45" s="11"/>
    </row>
    <row r="46">
      <c r="A46" s="11" t="s">
        <v>1075</v>
      </c>
      <c r="B46" s="6" t="s">
        <v>47</v>
      </c>
      <c r="C46" s="32">
        <v>0.448</v>
      </c>
      <c r="D46" s="11">
        <v>0.02164</v>
      </c>
      <c r="E46" s="11" t="s">
        <v>1071</v>
      </c>
    </row>
    <row r="47">
      <c r="A47" s="11" t="s">
        <v>1075</v>
      </c>
      <c r="B47" s="6" t="s">
        <v>69</v>
      </c>
      <c r="C47" s="33"/>
      <c r="E47" s="11" t="s">
        <v>1070</v>
      </c>
    </row>
    <row r="48">
      <c r="A48" s="11" t="s">
        <v>1075</v>
      </c>
      <c r="B48" s="6" t="s">
        <v>86</v>
      </c>
      <c r="C48" s="33"/>
      <c r="E48" s="11" t="s">
        <v>1070</v>
      </c>
    </row>
    <row r="49">
      <c r="A49" s="11" t="s">
        <v>1075</v>
      </c>
      <c r="B49" s="6" t="s">
        <v>89</v>
      </c>
      <c r="C49" s="32">
        <v>0.358</v>
      </c>
      <c r="D49" s="11">
        <v>0.0723</v>
      </c>
      <c r="E49" s="11" t="s">
        <v>1070</v>
      </c>
    </row>
    <row r="50">
      <c r="A50" s="11" t="s">
        <v>1075</v>
      </c>
      <c r="B50" s="6" t="s">
        <v>108</v>
      </c>
      <c r="C50" s="33"/>
      <c r="E50" s="11" t="s">
        <v>1070</v>
      </c>
    </row>
    <row r="51">
      <c r="A51" s="11" t="s">
        <v>1075</v>
      </c>
      <c r="B51" s="6" t="s">
        <v>116</v>
      </c>
      <c r="C51" s="32">
        <v>0.358</v>
      </c>
      <c r="D51" s="11">
        <v>0.0723</v>
      </c>
      <c r="E51" s="11" t="s">
        <v>1070</v>
      </c>
    </row>
    <row r="52">
      <c r="A52" s="11" t="s">
        <v>1075</v>
      </c>
      <c r="B52" s="6" t="s">
        <v>128</v>
      </c>
      <c r="C52" s="32">
        <v>0.456</v>
      </c>
      <c r="D52" s="11">
        <v>0.01914</v>
      </c>
      <c r="E52" s="11" t="s">
        <v>1071</v>
      </c>
    </row>
    <row r="53">
      <c r="A53" s="11" t="s">
        <v>1075</v>
      </c>
      <c r="B53" s="6" t="s">
        <v>145</v>
      </c>
      <c r="C53" s="32">
        <v>-0.248</v>
      </c>
      <c r="D53" s="11">
        <v>0.22144</v>
      </c>
      <c r="E53" s="11" t="s">
        <v>1070</v>
      </c>
    </row>
    <row r="54">
      <c r="A54" s="11" t="s">
        <v>1075</v>
      </c>
      <c r="B54" s="6" t="s">
        <v>157</v>
      </c>
      <c r="C54" s="33"/>
      <c r="E54" s="11" t="s">
        <v>1070</v>
      </c>
    </row>
    <row r="55">
      <c r="A55" s="11" t="s">
        <v>1075</v>
      </c>
      <c r="B55" s="6" t="s">
        <v>169</v>
      </c>
      <c r="C55" s="33"/>
      <c r="E55" s="11" t="s">
        <v>1070</v>
      </c>
    </row>
    <row r="56">
      <c r="A56" s="11"/>
      <c r="B56" s="6"/>
      <c r="C56" s="33"/>
      <c r="E56" s="11"/>
    </row>
    <row r="57">
      <c r="A57" s="11" t="s">
        <v>1076</v>
      </c>
      <c r="B57" s="6" t="s">
        <v>47</v>
      </c>
      <c r="C57" s="32">
        <v>0.011</v>
      </c>
      <c r="D57" s="11">
        <v>0.94264</v>
      </c>
      <c r="E57" s="11" t="s">
        <v>1070</v>
      </c>
    </row>
    <row r="58">
      <c r="A58" s="11" t="s">
        <v>1076</v>
      </c>
      <c r="B58" s="6" t="s">
        <v>69</v>
      </c>
      <c r="C58" s="32">
        <v>0.401</v>
      </c>
      <c r="D58" s="11">
        <v>0.00434</v>
      </c>
      <c r="E58" s="11" t="s">
        <v>1071</v>
      </c>
    </row>
    <row r="59">
      <c r="A59" s="11" t="s">
        <v>1076</v>
      </c>
      <c r="B59" s="6" t="s">
        <v>86</v>
      </c>
      <c r="C59" s="33"/>
      <c r="E59" s="11" t="s">
        <v>1070</v>
      </c>
    </row>
    <row r="60">
      <c r="A60" s="11" t="s">
        <v>1076</v>
      </c>
      <c r="B60" s="6" t="s">
        <v>89</v>
      </c>
      <c r="C60" s="32">
        <v>-0.315</v>
      </c>
      <c r="D60" s="11">
        <v>0.02729</v>
      </c>
      <c r="E60" s="11" t="s">
        <v>1071</v>
      </c>
    </row>
    <row r="61">
      <c r="A61" s="11" t="s">
        <v>1076</v>
      </c>
      <c r="B61" s="6" t="s">
        <v>108</v>
      </c>
      <c r="C61" s="32">
        <v>-0.38</v>
      </c>
      <c r="D61" s="11">
        <v>0.0071</v>
      </c>
      <c r="E61" s="11" t="s">
        <v>1071</v>
      </c>
    </row>
    <row r="62">
      <c r="A62" s="11" t="s">
        <v>1076</v>
      </c>
      <c r="B62" s="6" t="s">
        <v>116</v>
      </c>
      <c r="C62" s="33"/>
      <c r="E62" s="11" t="s">
        <v>1070</v>
      </c>
    </row>
    <row r="63">
      <c r="A63" s="11" t="s">
        <v>1076</v>
      </c>
      <c r="B63" s="6" t="s">
        <v>128</v>
      </c>
      <c r="C63" s="32">
        <v>0.498</v>
      </c>
      <c r="D63" s="11">
        <v>2.7E-4</v>
      </c>
      <c r="E63" s="11" t="s">
        <v>1071</v>
      </c>
    </row>
    <row r="64">
      <c r="A64" s="11" t="s">
        <v>1076</v>
      </c>
      <c r="B64" s="6" t="s">
        <v>145</v>
      </c>
      <c r="C64" s="32">
        <v>0.353</v>
      </c>
      <c r="D64" s="11">
        <v>0.01298</v>
      </c>
      <c r="E64" s="11" t="s">
        <v>1071</v>
      </c>
    </row>
    <row r="65">
      <c r="A65" s="11" t="s">
        <v>1076</v>
      </c>
      <c r="B65" s="6" t="s">
        <v>157</v>
      </c>
      <c r="C65" s="32">
        <v>-0.194</v>
      </c>
      <c r="D65" s="11">
        <v>0.18142</v>
      </c>
      <c r="E65" s="11" t="s">
        <v>1070</v>
      </c>
    </row>
    <row r="66">
      <c r="A66" s="11" t="s">
        <v>1076</v>
      </c>
      <c r="B66" s="6" t="s">
        <v>169</v>
      </c>
      <c r="C66" s="33"/>
      <c r="E66" s="11" t="s">
        <v>1070</v>
      </c>
    </row>
    <row r="67">
      <c r="A67" s="11"/>
      <c r="B67" s="6"/>
      <c r="C67" s="33"/>
      <c r="E67" s="11"/>
    </row>
    <row r="68">
      <c r="A68" s="11" t="s">
        <v>1077</v>
      </c>
      <c r="B68" s="6" t="s">
        <v>47</v>
      </c>
      <c r="C68" s="32">
        <v>0.481</v>
      </c>
      <c r="D68" s="11">
        <v>0.00399</v>
      </c>
      <c r="E68" s="11" t="s">
        <v>1071</v>
      </c>
    </row>
    <row r="69">
      <c r="A69" s="11" t="s">
        <v>1077</v>
      </c>
      <c r="B69" s="6" t="s">
        <v>69</v>
      </c>
      <c r="C69" s="32">
        <v>0.287</v>
      </c>
      <c r="D69" s="11">
        <v>0.09946</v>
      </c>
      <c r="E69" s="11" t="s">
        <v>1070</v>
      </c>
    </row>
    <row r="70">
      <c r="A70" s="11" t="s">
        <v>1077</v>
      </c>
      <c r="B70" s="6" t="s">
        <v>86</v>
      </c>
      <c r="C70" s="33"/>
      <c r="E70" s="11" t="s">
        <v>1070</v>
      </c>
    </row>
    <row r="71">
      <c r="A71" s="11" t="s">
        <v>1077</v>
      </c>
      <c r="B71" s="6" t="s">
        <v>89</v>
      </c>
      <c r="C71" s="32">
        <v>0.446</v>
      </c>
      <c r="D71" s="11">
        <v>0.00826</v>
      </c>
      <c r="E71" s="11" t="s">
        <v>1071</v>
      </c>
    </row>
    <row r="72">
      <c r="A72" s="11" t="s">
        <v>1077</v>
      </c>
      <c r="B72" s="6" t="s">
        <v>108</v>
      </c>
      <c r="C72" s="33"/>
      <c r="E72" s="11" t="s">
        <v>1070</v>
      </c>
    </row>
    <row r="73">
      <c r="A73" s="11" t="s">
        <v>1077</v>
      </c>
      <c r="B73" s="6" t="s">
        <v>116</v>
      </c>
      <c r="C73" s="32">
        <v>0.151</v>
      </c>
      <c r="D73" s="11">
        <v>0.39351</v>
      </c>
      <c r="E73" s="11" t="s">
        <v>1070</v>
      </c>
    </row>
    <row r="74">
      <c r="A74" s="11" t="s">
        <v>1077</v>
      </c>
      <c r="B74" s="6" t="s">
        <v>128</v>
      </c>
      <c r="C74" s="32">
        <v>0.275</v>
      </c>
      <c r="D74" s="11">
        <v>0.11493</v>
      </c>
      <c r="E74" s="11" t="s">
        <v>1070</v>
      </c>
    </row>
    <row r="75">
      <c r="A75" s="11" t="s">
        <v>1077</v>
      </c>
      <c r="B75" s="6" t="s">
        <v>145</v>
      </c>
      <c r="C75" s="32">
        <v>0.356</v>
      </c>
      <c r="D75" s="11">
        <v>0.03862</v>
      </c>
      <c r="E75" s="11" t="s">
        <v>1071</v>
      </c>
    </row>
    <row r="76">
      <c r="A76" s="11" t="s">
        <v>1077</v>
      </c>
      <c r="B76" s="6" t="s">
        <v>157</v>
      </c>
      <c r="C76" s="33"/>
      <c r="E76" s="11" t="s">
        <v>1070</v>
      </c>
    </row>
    <row r="77">
      <c r="A77" s="11" t="s">
        <v>1077</v>
      </c>
      <c r="B77" s="6" t="s">
        <v>169</v>
      </c>
      <c r="C77" s="33"/>
      <c r="E77" s="11" t="s">
        <v>1070</v>
      </c>
    </row>
    <row r="78">
      <c r="A78" s="11"/>
      <c r="B78" s="6"/>
      <c r="C78" s="33"/>
      <c r="E78" s="11"/>
    </row>
    <row r="79">
      <c r="A79" s="11" t="s">
        <v>1078</v>
      </c>
      <c r="B79" s="6" t="s">
        <v>47</v>
      </c>
      <c r="C79" s="32">
        <v>0.613</v>
      </c>
      <c r="D79" s="11">
        <v>6.8E-4</v>
      </c>
      <c r="E79" s="11" t="s">
        <v>1071</v>
      </c>
    </row>
    <row r="80">
      <c r="A80" s="11" t="s">
        <v>1078</v>
      </c>
      <c r="B80" s="6" t="s">
        <v>69</v>
      </c>
      <c r="C80" s="32">
        <v>0.368</v>
      </c>
      <c r="D80" s="11">
        <v>0.05885</v>
      </c>
      <c r="E80" s="11" t="s">
        <v>1070</v>
      </c>
    </row>
    <row r="81">
      <c r="A81" s="11" t="s">
        <v>1078</v>
      </c>
      <c r="B81" s="6" t="s">
        <v>86</v>
      </c>
      <c r="C81" s="33"/>
      <c r="E81" s="11" t="s">
        <v>1070</v>
      </c>
    </row>
    <row r="82">
      <c r="A82" s="11" t="s">
        <v>1078</v>
      </c>
      <c r="B82" s="6" t="s">
        <v>89</v>
      </c>
      <c r="C82" s="32">
        <v>0.346</v>
      </c>
      <c r="D82" s="11">
        <v>0.07686</v>
      </c>
      <c r="E82" s="11" t="s">
        <v>1070</v>
      </c>
    </row>
    <row r="83">
      <c r="A83" s="11" t="s">
        <v>1078</v>
      </c>
      <c r="B83" s="6" t="s">
        <v>108</v>
      </c>
      <c r="C83" s="33"/>
      <c r="E83" s="11" t="s">
        <v>1070</v>
      </c>
    </row>
    <row r="84">
      <c r="A84" s="11" t="s">
        <v>1078</v>
      </c>
      <c r="B84" s="6" t="s">
        <v>116</v>
      </c>
      <c r="C84" s="32">
        <v>0.354</v>
      </c>
      <c r="D84" s="11">
        <v>0.07007</v>
      </c>
      <c r="E84" s="11" t="s">
        <v>1070</v>
      </c>
    </row>
    <row r="85">
      <c r="A85" s="11" t="s">
        <v>1078</v>
      </c>
      <c r="B85" s="6" t="s">
        <v>128</v>
      </c>
      <c r="C85" s="32">
        <v>0.368</v>
      </c>
      <c r="D85" s="11">
        <v>0.05885</v>
      </c>
      <c r="E85" s="11" t="s">
        <v>1070</v>
      </c>
    </row>
    <row r="86">
      <c r="A86" s="11" t="s">
        <v>1078</v>
      </c>
      <c r="B86" s="6" t="s">
        <v>145</v>
      </c>
      <c r="C86" s="32">
        <v>0.368</v>
      </c>
      <c r="D86" s="11">
        <v>0.05885</v>
      </c>
      <c r="E86" s="11" t="s">
        <v>1070</v>
      </c>
    </row>
    <row r="87">
      <c r="A87" s="11" t="s">
        <v>1078</v>
      </c>
      <c r="B87" s="6" t="s">
        <v>157</v>
      </c>
      <c r="C87" s="32">
        <v>0.198</v>
      </c>
      <c r="D87" s="11">
        <v>0.32161</v>
      </c>
      <c r="E87" s="11" t="s">
        <v>1070</v>
      </c>
    </row>
    <row r="88">
      <c r="A88" s="11" t="s">
        <v>1078</v>
      </c>
      <c r="B88" s="6" t="s">
        <v>169</v>
      </c>
      <c r="C88" s="33"/>
      <c r="E88" s="11" t="s">
        <v>1070</v>
      </c>
    </row>
    <row r="89">
      <c r="A89" s="11"/>
      <c r="B89" s="6"/>
      <c r="C89" s="33"/>
      <c r="E89" s="11"/>
    </row>
    <row r="90">
      <c r="A90" s="11" t="s">
        <v>1079</v>
      </c>
      <c r="B90" s="6" t="s">
        <v>47</v>
      </c>
      <c r="C90" s="32">
        <v>0.352</v>
      </c>
      <c r="D90" s="11">
        <v>0.12843</v>
      </c>
      <c r="E90" s="11" t="s">
        <v>1070</v>
      </c>
    </row>
    <row r="91">
      <c r="A91" s="11" t="s">
        <v>1079</v>
      </c>
      <c r="B91" s="6" t="s">
        <v>69</v>
      </c>
      <c r="C91" s="32">
        <v>0.02</v>
      </c>
      <c r="D91" s="11">
        <v>0.93274</v>
      </c>
      <c r="E91" s="11" t="s">
        <v>1070</v>
      </c>
    </row>
    <row r="92">
      <c r="A92" s="11" t="s">
        <v>1079</v>
      </c>
      <c r="B92" s="6" t="s">
        <v>86</v>
      </c>
      <c r="C92" s="33"/>
      <c r="E92" s="11" t="s">
        <v>1070</v>
      </c>
    </row>
    <row r="93">
      <c r="A93" s="11" t="s">
        <v>1079</v>
      </c>
      <c r="B93" s="6" t="s">
        <v>89</v>
      </c>
      <c r="C93" s="32">
        <v>0.566</v>
      </c>
      <c r="D93" s="11">
        <v>0.0093</v>
      </c>
      <c r="E93" s="11" t="s">
        <v>1071</v>
      </c>
    </row>
    <row r="94">
      <c r="A94" s="11" t="s">
        <v>1079</v>
      </c>
      <c r="B94" s="6" t="s">
        <v>108</v>
      </c>
      <c r="C94" s="33"/>
      <c r="E94" s="11" t="s">
        <v>1070</v>
      </c>
    </row>
    <row r="95">
      <c r="A95" s="11" t="s">
        <v>1079</v>
      </c>
      <c r="B95" s="6" t="s">
        <v>116</v>
      </c>
      <c r="C95" s="33"/>
      <c r="E95" s="11" t="s">
        <v>1070</v>
      </c>
    </row>
    <row r="96">
      <c r="A96" s="11" t="s">
        <v>1079</v>
      </c>
      <c r="B96" s="6" t="s">
        <v>128</v>
      </c>
      <c r="C96" s="33"/>
      <c r="E96" s="11" t="s">
        <v>1070</v>
      </c>
    </row>
    <row r="97">
      <c r="A97" s="11" t="s">
        <v>1079</v>
      </c>
      <c r="B97" s="6" t="s">
        <v>145</v>
      </c>
      <c r="C97" s="33"/>
      <c r="E97" s="11" t="s">
        <v>1070</v>
      </c>
    </row>
    <row r="98">
      <c r="A98" s="11" t="s">
        <v>1079</v>
      </c>
      <c r="B98" s="6" t="s">
        <v>157</v>
      </c>
      <c r="C98" s="33"/>
      <c r="E98" s="11" t="s">
        <v>1070</v>
      </c>
    </row>
    <row r="99">
      <c r="A99" s="11" t="s">
        <v>1079</v>
      </c>
      <c r="B99" s="6" t="s">
        <v>169</v>
      </c>
      <c r="C99" s="33"/>
      <c r="E99" s="11" t="s">
        <v>1070</v>
      </c>
    </row>
    <row r="100">
      <c r="A100" s="11"/>
      <c r="B100" s="6"/>
      <c r="C100" s="33"/>
      <c r="E100" s="11"/>
    </row>
    <row r="101">
      <c r="A101" s="11" t="s">
        <v>1080</v>
      </c>
      <c r="B101" s="6" t="s">
        <v>47</v>
      </c>
      <c r="C101" s="32">
        <v>0.107</v>
      </c>
      <c r="D101" s="11">
        <v>0.43704</v>
      </c>
      <c r="E101" s="11" t="s">
        <v>1070</v>
      </c>
    </row>
    <row r="102">
      <c r="A102" s="11" t="s">
        <v>1080</v>
      </c>
      <c r="B102" s="6" t="s">
        <v>69</v>
      </c>
      <c r="C102" s="32">
        <v>-0.05</v>
      </c>
      <c r="D102" s="11">
        <v>0.71547</v>
      </c>
      <c r="E102" s="11" t="s">
        <v>1070</v>
      </c>
    </row>
    <row r="103">
      <c r="A103" s="11" t="s">
        <v>1080</v>
      </c>
      <c r="B103" s="6" t="s">
        <v>86</v>
      </c>
      <c r="C103" s="33"/>
      <c r="E103" s="11" t="s">
        <v>1070</v>
      </c>
    </row>
    <row r="104">
      <c r="A104" s="11" t="s">
        <v>1080</v>
      </c>
      <c r="B104" s="6" t="s">
        <v>89</v>
      </c>
      <c r="C104" s="32">
        <v>0.282</v>
      </c>
      <c r="D104" s="11">
        <v>0.03707</v>
      </c>
      <c r="E104" s="11" t="s">
        <v>1071</v>
      </c>
    </row>
    <row r="105">
      <c r="A105" s="11" t="s">
        <v>1080</v>
      </c>
      <c r="B105" s="6" t="s">
        <v>108</v>
      </c>
      <c r="C105" s="32">
        <v>-0.053</v>
      </c>
      <c r="D105" s="11">
        <v>0.70309</v>
      </c>
      <c r="E105" s="11" t="s">
        <v>1070</v>
      </c>
    </row>
    <row r="106">
      <c r="A106" s="11" t="s">
        <v>1080</v>
      </c>
      <c r="B106" s="6" t="s">
        <v>116</v>
      </c>
      <c r="C106" s="32">
        <v>0.166</v>
      </c>
      <c r="D106" s="11">
        <v>0.22478</v>
      </c>
      <c r="E106" s="11" t="s">
        <v>1070</v>
      </c>
    </row>
    <row r="107">
      <c r="A107" s="11" t="s">
        <v>1080</v>
      </c>
      <c r="B107" s="6" t="s">
        <v>128</v>
      </c>
      <c r="C107" s="32">
        <v>0.177</v>
      </c>
      <c r="D107" s="11">
        <v>0.19529</v>
      </c>
      <c r="E107" s="11" t="s">
        <v>1070</v>
      </c>
    </row>
    <row r="108">
      <c r="A108" s="11" t="s">
        <v>1080</v>
      </c>
      <c r="B108" s="6" t="s">
        <v>145</v>
      </c>
      <c r="C108" s="32">
        <v>-0.307</v>
      </c>
      <c r="D108" s="11">
        <v>0.02279</v>
      </c>
      <c r="E108" s="11" t="s">
        <v>1071</v>
      </c>
    </row>
    <row r="109">
      <c r="A109" s="11" t="s">
        <v>1080</v>
      </c>
      <c r="B109" s="6" t="s">
        <v>157</v>
      </c>
      <c r="C109" s="32">
        <v>0.109</v>
      </c>
      <c r="D109" s="11">
        <v>0.42932</v>
      </c>
      <c r="E109" s="11" t="s">
        <v>1070</v>
      </c>
    </row>
    <row r="110">
      <c r="A110" s="11" t="s">
        <v>1080</v>
      </c>
      <c r="B110" s="6" t="s">
        <v>169</v>
      </c>
      <c r="C110" s="33"/>
      <c r="E110" s="11" t="s">
        <v>1070</v>
      </c>
    </row>
    <row r="111">
      <c r="A111" s="11"/>
      <c r="B111" s="6"/>
      <c r="C111" s="33"/>
      <c r="E111" s="11"/>
    </row>
    <row r="112">
      <c r="A112" s="11" t="s">
        <v>1081</v>
      </c>
      <c r="B112" s="6" t="s">
        <v>47</v>
      </c>
      <c r="C112" s="32">
        <v>0.615</v>
      </c>
      <c r="D112" s="11">
        <v>4.9E-4</v>
      </c>
      <c r="E112" s="11" t="s">
        <v>1071</v>
      </c>
    </row>
    <row r="113">
      <c r="A113" s="11" t="s">
        <v>1081</v>
      </c>
      <c r="B113" s="6" t="s">
        <v>69</v>
      </c>
      <c r="C113" s="32">
        <v>-0.129</v>
      </c>
      <c r="D113" s="11">
        <v>0.51461</v>
      </c>
      <c r="E113" s="11" t="s">
        <v>1070</v>
      </c>
    </row>
    <row r="114">
      <c r="A114" s="11" t="s">
        <v>1081</v>
      </c>
      <c r="B114" s="6" t="s">
        <v>86</v>
      </c>
      <c r="C114" s="33"/>
      <c r="E114" s="11" t="s">
        <v>1070</v>
      </c>
    </row>
    <row r="115">
      <c r="A115" s="11" t="s">
        <v>1081</v>
      </c>
      <c r="B115" s="6" t="s">
        <v>89</v>
      </c>
      <c r="C115" s="32">
        <v>0.501</v>
      </c>
      <c r="D115" s="11">
        <v>0.00666</v>
      </c>
      <c r="E115" s="11" t="s">
        <v>1071</v>
      </c>
    </row>
    <row r="116">
      <c r="A116" s="11" t="s">
        <v>1081</v>
      </c>
      <c r="B116" s="6" t="s">
        <v>108</v>
      </c>
      <c r="C116" s="33"/>
      <c r="E116" s="11" t="s">
        <v>1070</v>
      </c>
    </row>
    <row r="117">
      <c r="A117" s="11" t="s">
        <v>1081</v>
      </c>
      <c r="B117" s="6" t="s">
        <v>116</v>
      </c>
      <c r="C117" s="32">
        <v>0.341</v>
      </c>
      <c r="D117" s="11">
        <v>0.076</v>
      </c>
      <c r="E117" s="11" t="s">
        <v>1070</v>
      </c>
    </row>
    <row r="118">
      <c r="A118" s="11" t="s">
        <v>1081</v>
      </c>
      <c r="B118" s="6" t="s">
        <v>128</v>
      </c>
      <c r="C118" s="32">
        <v>0.516</v>
      </c>
      <c r="D118" s="11">
        <v>0.00498</v>
      </c>
      <c r="E118" s="11" t="s">
        <v>1071</v>
      </c>
    </row>
    <row r="119">
      <c r="A119" s="11" t="s">
        <v>1081</v>
      </c>
      <c r="B119" s="6" t="s">
        <v>145</v>
      </c>
      <c r="C119" s="33"/>
      <c r="E119" s="11" t="s">
        <v>1070</v>
      </c>
    </row>
    <row r="120">
      <c r="A120" s="11" t="s">
        <v>1081</v>
      </c>
      <c r="B120" s="6" t="s">
        <v>157</v>
      </c>
      <c r="C120" s="32">
        <v>-0.033</v>
      </c>
      <c r="D120" s="11">
        <v>0.86599</v>
      </c>
      <c r="E120" s="11" t="s">
        <v>1070</v>
      </c>
    </row>
    <row r="121">
      <c r="A121" s="11" t="s">
        <v>1081</v>
      </c>
      <c r="B121" s="6" t="s">
        <v>169</v>
      </c>
      <c r="C121" s="33"/>
      <c r="E121" s="11" t="s">
        <v>1070</v>
      </c>
    </row>
    <row r="122">
      <c r="A122" s="11"/>
      <c r="B122" s="6"/>
      <c r="C122" s="33"/>
      <c r="E122" s="11"/>
    </row>
    <row r="123">
      <c r="A123" s="11" t="s">
        <v>1082</v>
      </c>
      <c r="B123" s="6" t="s">
        <v>47</v>
      </c>
      <c r="C123" s="32">
        <v>0.297</v>
      </c>
      <c r="D123" s="11">
        <v>0.02933</v>
      </c>
      <c r="E123" s="11" t="s">
        <v>1071</v>
      </c>
    </row>
    <row r="124">
      <c r="A124" s="11" t="s">
        <v>1082</v>
      </c>
      <c r="B124" s="6" t="s">
        <v>69</v>
      </c>
      <c r="C124" s="33"/>
      <c r="E124" s="11" t="s">
        <v>1070</v>
      </c>
    </row>
    <row r="125">
      <c r="A125" s="11" t="s">
        <v>1082</v>
      </c>
      <c r="B125" s="6" t="s">
        <v>86</v>
      </c>
      <c r="C125" s="33"/>
      <c r="E125" s="11" t="s">
        <v>1070</v>
      </c>
    </row>
    <row r="126">
      <c r="A126" s="11" t="s">
        <v>1082</v>
      </c>
      <c r="B126" s="6" t="s">
        <v>89</v>
      </c>
      <c r="C126" s="32">
        <v>0.446</v>
      </c>
      <c r="D126" s="11">
        <v>7.3E-4</v>
      </c>
      <c r="E126" s="11" t="s">
        <v>1071</v>
      </c>
    </row>
    <row r="127">
      <c r="A127" s="11" t="s">
        <v>1082</v>
      </c>
      <c r="B127" s="6" t="s">
        <v>108</v>
      </c>
      <c r="C127" s="33"/>
      <c r="E127" s="11" t="s">
        <v>1070</v>
      </c>
    </row>
    <row r="128">
      <c r="A128" s="11" t="s">
        <v>1082</v>
      </c>
      <c r="B128" s="6" t="s">
        <v>116</v>
      </c>
      <c r="C128" s="32">
        <v>0.322</v>
      </c>
      <c r="D128" s="11">
        <v>0.01761</v>
      </c>
      <c r="E128" s="11" t="s">
        <v>1071</v>
      </c>
    </row>
    <row r="129">
      <c r="A129" s="11" t="s">
        <v>1082</v>
      </c>
      <c r="B129" s="6" t="s">
        <v>128</v>
      </c>
      <c r="C129" s="32">
        <v>0.316</v>
      </c>
      <c r="D129" s="11">
        <v>0.02007</v>
      </c>
      <c r="E129" s="11" t="s">
        <v>1071</v>
      </c>
    </row>
    <row r="130">
      <c r="A130" s="11" t="s">
        <v>1082</v>
      </c>
      <c r="B130" s="6" t="s">
        <v>145</v>
      </c>
      <c r="C130" s="32">
        <v>-0.148</v>
      </c>
      <c r="D130" s="11">
        <v>0.2842</v>
      </c>
      <c r="E130" s="11" t="s">
        <v>1070</v>
      </c>
    </row>
    <row r="131">
      <c r="A131" s="11" t="s">
        <v>1082</v>
      </c>
      <c r="B131" s="6" t="s">
        <v>157</v>
      </c>
      <c r="C131" s="33"/>
      <c r="E131" s="11" t="s">
        <v>1070</v>
      </c>
    </row>
    <row r="132">
      <c r="A132" s="11" t="s">
        <v>1082</v>
      </c>
      <c r="B132" s="6" t="s">
        <v>169</v>
      </c>
      <c r="C132" s="33"/>
      <c r="E132" s="11" t="s">
        <v>1070</v>
      </c>
    </row>
    <row r="133">
      <c r="B133" s="35"/>
      <c r="C133" s="33"/>
    </row>
    <row r="134">
      <c r="B134" s="35"/>
      <c r="C134" s="33"/>
    </row>
    <row r="135">
      <c r="B135" s="35"/>
      <c r="C135" s="33"/>
    </row>
    <row r="136">
      <c r="B136" s="35"/>
      <c r="C136" s="33"/>
    </row>
    <row r="137">
      <c r="B137" s="35"/>
      <c r="C137" s="33"/>
    </row>
    <row r="138">
      <c r="B138" s="35"/>
      <c r="C138" s="33"/>
    </row>
    <row r="139">
      <c r="B139" s="35"/>
      <c r="C139" s="33"/>
    </row>
    <row r="140">
      <c r="B140" s="35"/>
      <c r="C140" s="33"/>
    </row>
    <row r="141">
      <c r="B141" s="35"/>
      <c r="C141" s="33"/>
    </row>
    <row r="142">
      <c r="B142" s="35"/>
      <c r="C142" s="33"/>
    </row>
    <row r="143">
      <c r="B143" s="35"/>
      <c r="C143" s="33"/>
    </row>
    <row r="144">
      <c r="B144" s="35"/>
      <c r="C144" s="33"/>
    </row>
    <row r="145">
      <c r="B145" s="35"/>
      <c r="C145" s="33"/>
    </row>
    <row r="146">
      <c r="B146" s="35"/>
      <c r="C146" s="33"/>
    </row>
    <row r="147">
      <c r="B147" s="35"/>
      <c r="C147" s="33"/>
    </row>
    <row r="148">
      <c r="B148" s="35"/>
      <c r="C148" s="33"/>
    </row>
    <row r="149">
      <c r="B149" s="35"/>
      <c r="C149" s="33"/>
    </row>
    <row r="150">
      <c r="B150" s="35"/>
      <c r="C150" s="33"/>
    </row>
    <row r="151">
      <c r="B151" s="35"/>
      <c r="C151" s="33"/>
    </row>
    <row r="152">
      <c r="B152" s="35"/>
      <c r="C152" s="33"/>
    </row>
    <row r="153">
      <c r="B153" s="35"/>
      <c r="C153" s="33"/>
    </row>
    <row r="154">
      <c r="B154" s="35"/>
      <c r="C154" s="33"/>
    </row>
    <row r="155">
      <c r="B155" s="35"/>
      <c r="C155" s="33"/>
    </row>
    <row r="156">
      <c r="B156" s="35"/>
      <c r="C156" s="33"/>
    </row>
    <row r="157">
      <c r="B157" s="35"/>
      <c r="C157" s="33"/>
    </row>
    <row r="158">
      <c r="B158" s="35"/>
      <c r="C158" s="33"/>
    </row>
    <row r="159">
      <c r="B159" s="35"/>
      <c r="C159" s="33"/>
    </row>
    <row r="160">
      <c r="B160" s="35"/>
      <c r="C160" s="33"/>
    </row>
    <row r="161">
      <c r="B161" s="35"/>
      <c r="C161" s="33"/>
    </row>
    <row r="162">
      <c r="B162" s="35"/>
      <c r="C162" s="33"/>
    </row>
    <row r="163">
      <c r="B163" s="35"/>
      <c r="C163" s="33"/>
    </row>
    <row r="164">
      <c r="B164" s="35"/>
      <c r="C164" s="33"/>
    </row>
    <row r="165">
      <c r="B165" s="35"/>
      <c r="C165" s="33"/>
    </row>
    <row r="166">
      <c r="B166" s="35"/>
      <c r="C166" s="33"/>
    </row>
    <row r="167">
      <c r="B167" s="35"/>
      <c r="C167" s="33"/>
    </row>
    <row r="168">
      <c r="B168" s="35"/>
      <c r="C168" s="33"/>
    </row>
    <row r="169">
      <c r="B169" s="35"/>
      <c r="C169" s="33"/>
    </row>
    <row r="170">
      <c r="B170" s="35"/>
      <c r="C170" s="33"/>
    </row>
    <row r="171">
      <c r="B171" s="35"/>
      <c r="C171" s="33"/>
    </row>
    <row r="172">
      <c r="B172" s="35"/>
      <c r="C172" s="33"/>
    </row>
    <row r="173">
      <c r="B173" s="35"/>
      <c r="C173" s="33"/>
    </row>
    <row r="174">
      <c r="B174" s="35"/>
      <c r="C174" s="33"/>
    </row>
    <row r="175">
      <c r="B175" s="35"/>
      <c r="C175" s="33"/>
    </row>
    <row r="176">
      <c r="B176" s="35"/>
      <c r="C176" s="33"/>
    </row>
    <row r="177">
      <c r="B177" s="35"/>
      <c r="C177" s="33"/>
    </row>
    <row r="178">
      <c r="B178" s="35"/>
      <c r="C178" s="33"/>
    </row>
    <row r="179">
      <c r="B179" s="35"/>
      <c r="C179" s="33"/>
    </row>
    <row r="180">
      <c r="B180" s="35"/>
      <c r="C180" s="33"/>
    </row>
    <row r="181">
      <c r="B181" s="35"/>
      <c r="C181" s="33"/>
    </row>
    <row r="182">
      <c r="B182" s="35"/>
      <c r="C182" s="33"/>
    </row>
    <row r="183">
      <c r="B183" s="35"/>
      <c r="C183" s="33"/>
    </row>
    <row r="184">
      <c r="B184" s="35"/>
      <c r="C184" s="33"/>
    </row>
    <row r="185">
      <c r="B185" s="35"/>
      <c r="C185" s="33"/>
    </row>
    <row r="186">
      <c r="B186" s="35"/>
      <c r="C186" s="33"/>
    </row>
    <row r="187">
      <c r="B187" s="35"/>
      <c r="C187" s="33"/>
    </row>
    <row r="188">
      <c r="B188" s="35"/>
      <c r="C188" s="33"/>
    </row>
    <row r="189">
      <c r="B189" s="35"/>
      <c r="C189" s="33"/>
    </row>
    <row r="190">
      <c r="B190" s="35"/>
      <c r="C190" s="33"/>
    </row>
    <row r="191">
      <c r="B191" s="35"/>
      <c r="C191" s="33"/>
    </row>
    <row r="192">
      <c r="B192" s="35"/>
      <c r="C192" s="33"/>
    </row>
    <row r="193">
      <c r="B193" s="35"/>
      <c r="C193" s="33"/>
    </row>
    <row r="194">
      <c r="B194" s="35"/>
      <c r="C194" s="33"/>
    </row>
    <row r="195">
      <c r="B195" s="35"/>
      <c r="C195" s="33"/>
    </row>
    <row r="196">
      <c r="B196" s="35"/>
      <c r="C196" s="33"/>
    </row>
    <row r="197">
      <c r="B197" s="35"/>
      <c r="C197" s="33"/>
    </row>
    <row r="198">
      <c r="B198" s="35"/>
      <c r="C198" s="33"/>
    </row>
    <row r="199">
      <c r="B199" s="35"/>
      <c r="C199" s="33"/>
    </row>
    <row r="200">
      <c r="B200" s="35"/>
      <c r="C200" s="33"/>
    </row>
    <row r="201">
      <c r="B201" s="35"/>
      <c r="C201" s="33"/>
    </row>
    <row r="202">
      <c r="B202" s="35"/>
      <c r="C202" s="33"/>
    </row>
    <row r="203">
      <c r="B203" s="35"/>
      <c r="C203" s="33"/>
    </row>
    <row r="204">
      <c r="B204" s="35"/>
      <c r="C204" s="33"/>
    </row>
    <row r="205">
      <c r="B205" s="35"/>
      <c r="C205" s="33"/>
    </row>
    <row r="206">
      <c r="B206" s="35"/>
      <c r="C206" s="33"/>
    </row>
    <row r="207">
      <c r="B207" s="35"/>
      <c r="C207" s="33"/>
    </row>
    <row r="208">
      <c r="B208" s="35"/>
      <c r="C208" s="33"/>
    </row>
    <row r="209">
      <c r="B209" s="35"/>
      <c r="C209" s="33"/>
    </row>
    <row r="210">
      <c r="B210" s="35"/>
      <c r="C210" s="33"/>
    </row>
    <row r="211">
      <c r="B211" s="35"/>
      <c r="C211" s="33"/>
    </row>
    <row r="212">
      <c r="B212" s="35"/>
      <c r="C212" s="33"/>
    </row>
    <row r="213">
      <c r="B213" s="35"/>
      <c r="C213" s="33"/>
    </row>
    <row r="214">
      <c r="B214" s="35"/>
      <c r="C214" s="33"/>
    </row>
    <row r="215">
      <c r="B215" s="35"/>
      <c r="C215" s="33"/>
    </row>
    <row r="216">
      <c r="B216" s="35"/>
      <c r="C216" s="33"/>
    </row>
    <row r="217">
      <c r="B217" s="35"/>
      <c r="C217" s="33"/>
    </row>
    <row r="218">
      <c r="B218" s="35"/>
      <c r="C218" s="33"/>
    </row>
    <row r="219">
      <c r="B219" s="35"/>
      <c r="C219" s="33"/>
    </row>
    <row r="220">
      <c r="B220" s="35"/>
      <c r="C220" s="33"/>
    </row>
    <row r="221">
      <c r="B221" s="35"/>
      <c r="C221" s="33"/>
    </row>
    <row r="222">
      <c r="B222" s="35"/>
      <c r="C222" s="33"/>
    </row>
    <row r="223">
      <c r="B223" s="35"/>
      <c r="C223" s="33"/>
    </row>
    <row r="224">
      <c r="B224" s="35"/>
      <c r="C224" s="33"/>
    </row>
    <row r="225">
      <c r="B225" s="35"/>
      <c r="C225" s="33"/>
    </row>
    <row r="226">
      <c r="B226" s="35"/>
      <c r="C226" s="33"/>
    </row>
    <row r="227">
      <c r="B227" s="35"/>
      <c r="C227" s="33"/>
    </row>
    <row r="228">
      <c r="B228" s="35"/>
      <c r="C228" s="33"/>
    </row>
    <row r="229">
      <c r="B229" s="35"/>
      <c r="C229" s="33"/>
    </row>
    <row r="230">
      <c r="B230" s="35"/>
      <c r="C230" s="33"/>
    </row>
    <row r="231">
      <c r="B231" s="35"/>
      <c r="C231" s="33"/>
    </row>
    <row r="232">
      <c r="B232" s="35"/>
      <c r="C232" s="33"/>
    </row>
    <row r="233">
      <c r="B233" s="35"/>
      <c r="C233" s="33"/>
    </row>
    <row r="234">
      <c r="B234" s="35"/>
      <c r="C234" s="33"/>
    </row>
    <row r="235">
      <c r="B235" s="35"/>
      <c r="C235" s="33"/>
    </row>
    <row r="236">
      <c r="B236" s="35"/>
      <c r="C236" s="33"/>
    </row>
    <row r="237">
      <c r="B237" s="35"/>
      <c r="C237" s="33"/>
    </row>
    <row r="238">
      <c r="B238" s="35"/>
      <c r="C238" s="33"/>
    </row>
    <row r="239">
      <c r="B239" s="35"/>
      <c r="C239" s="33"/>
    </row>
    <row r="240">
      <c r="B240" s="35"/>
      <c r="C240" s="33"/>
    </row>
    <row r="241">
      <c r="B241" s="35"/>
      <c r="C241" s="33"/>
    </row>
    <row r="242">
      <c r="B242" s="35"/>
      <c r="C242" s="33"/>
    </row>
    <row r="243">
      <c r="B243" s="35"/>
      <c r="C243" s="33"/>
    </row>
    <row r="244">
      <c r="B244" s="35"/>
      <c r="C244" s="33"/>
    </row>
    <row r="245">
      <c r="B245" s="35"/>
      <c r="C245" s="33"/>
    </row>
    <row r="246">
      <c r="B246" s="35"/>
      <c r="C246" s="33"/>
    </row>
    <row r="247">
      <c r="B247" s="35"/>
      <c r="C247" s="33"/>
    </row>
    <row r="248">
      <c r="B248" s="35"/>
      <c r="C248" s="33"/>
    </row>
    <row r="249">
      <c r="B249" s="35"/>
      <c r="C249" s="33"/>
    </row>
    <row r="250">
      <c r="B250" s="35"/>
      <c r="C250" s="33"/>
    </row>
    <row r="251">
      <c r="B251" s="35"/>
      <c r="C251" s="33"/>
    </row>
    <row r="252">
      <c r="B252" s="35"/>
      <c r="C252" s="33"/>
    </row>
    <row r="253">
      <c r="B253" s="35"/>
      <c r="C253" s="33"/>
    </row>
    <row r="254">
      <c r="B254" s="35"/>
      <c r="C254" s="33"/>
    </row>
    <row r="255">
      <c r="B255" s="35"/>
      <c r="C255" s="33"/>
    </row>
    <row r="256">
      <c r="B256" s="35"/>
      <c r="C256" s="33"/>
    </row>
    <row r="257">
      <c r="B257" s="35"/>
      <c r="C257" s="33"/>
    </row>
    <row r="258">
      <c r="B258" s="35"/>
      <c r="C258" s="33"/>
    </row>
    <row r="259">
      <c r="B259" s="35"/>
      <c r="C259" s="33"/>
    </row>
    <row r="260">
      <c r="B260" s="35"/>
      <c r="C260" s="33"/>
    </row>
    <row r="261">
      <c r="B261" s="35"/>
      <c r="C261" s="33"/>
    </row>
    <row r="262">
      <c r="B262" s="35"/>
      <c r="C262" s="33"/>
    </row>
    <row r="263">
      <c r="B263" s="35"/>
      <c r="C263" s="33"/>
    </row>
    <row r="264">
      <c r="B264" s="35"/>
      <c r="C264" s="33"/>
    </row>
    <row r="265">
      <c r="B265" s="35"/>
      <c r="C265" s="33"/>
    </row>
    <row r="266">
      <c r="B266" s="35"/>
      <c r="C266" s="33"/>
    </row>
    <row r="267">
      <c r="B267" s="35"/>
      <c r="C267" s="33"/>
    </row>
    <row r="268">
      <c r="B268" s="35"/>
      <c r="C268" s="33"/>
    </row>
    <row r="269">
      <c r="B269" s="35"/>
      <c r="C269" s="33"/>
    </row>
    <row r="270">
      <c r="B270" s="35"/>
      <c r="C270" s="33"/>
    </row>
    <row r="271">
      <c r="B271" s="35"/>
      <c r="C271" s="33"/>
    </row>
    <row r="272">
      <c r="B272" s="35"/>
      <c r="C272" s="33"/>
    </row>
    <row r="273">
      <c r="B273" s="35"/>
      <c r="C273" s="33"/>
    </row>
    <row r="274">
      <c r="B274" s="35"/>
      <c r="C274" s="33"/>
    </row>
    <row r="275">
      <c r="B275" s="35"/>
      <c r="C275" s="33"/>
    </row>
    <row r="276">
      <c r="B276" s="35"/>
      <c r="C276" s="33"/>
    </row>
    <row r="277">
      <c r="B277" s="35"/>
      <c r="C277" s="33"/>
    </row>
    <row r="278">
      <c r="B278" s="35"/>
      <c r="C278" s="33"/>
    </row>
    <row r="279">
      <c r="B279" s="35"/>
      <c r="C279" s="33"/>
    </row>
    <row r="280">
      <c r="B280" s="35"/>
      <c r="C280" s="33"/>
    </row>
    <row r="281">
      <c r="B281" s="35"/>
      <c r="C281" s="33"/>
    </row>
    <row r="282">
      <c r="B282" s="35"/>
      <c r="C282" s="33"/>
    </row>
    <row r="283">
      <c r="B283" s="35"/>
      <c r="C283" s="33"/>
    </row>
    <row r="284">
      <c r="B284" s="35"/>
      <c r="C284" s="33"/>
    </row>
    <row r="285">
      <c r="B285" s="35"/>
      <c r="C285" s="33"/>
    </row>
    <row r="286">
      <c r="B286" s="35"/>
      <c r="C286" s="33"/>
    </row>
    <row r="287">
      <c r="B287" s="35"/>
      <c r="C287" s="33"/>
    </row>
    <row r="288">
      <c r="B288" s="35"/>
      <c r="C288" s="33"/>
    </row>
    <row r="289">
      <c r="B289" s="35"/>
      <c r="C289" s="33"/>
    </row>
    <row r="290">
      <c r="B290" s="35"/>
      <c r="C290" s="33"/>
    </row>
    <row r="291">
      <c r="B291" s="35"/>
      <c r="C291" s="33"/>
    </row>
    <row r="292">
      <c r="B292" s="35"/>
      <c r="C292" s="33"/>
    </row>
    <row r="293">
      <c r="B293" s="35"/>
      <c r="C293" s="33"/>
    </row>
    <row r="294">
      <c r="B294" s="35"/>
      <c r="C294" s="33"/>
    </row>
    <row r="295">
      <c r="B295" s="35"/>
      <c r="C295" s="33"/>
    </row>
    <row r="296">
      <c r="B296" s="35"/>
      <c r="C296" s="33"/>
    </row>
    <row r="297">
      <c r="B297" s="35"/>
      <c r="C297" s="33"/>
    </row>
    <row r="298">
      <c r="B298" s="35"/>
      <c r="C298" s="33"/>
    </row>
    <row r="299">
      <c r="B299" s="35"/>
      <c r="C299" s="33"/>
    </row>
    <row r="300">
      <c r="B300" s="35"/>
      <c r="C300" s="33"/>
    </row>
    <row r="301">
      <c r="B301" s="35"/>
      <c r="C301" s="33"/>
    </row>
    <row r="302">
      <c r="B302" s="35"/>
      <c r="C302" s="33"/>
    </row>
    <row r="303">
      <c r="B303" s="35"/>
      <c r="C303" s="33"/>
    </row>
    <row r="304">
      <c r="B304" s="35"/>
      <c r="C304" s="33"/>
    </row>
    <row r="305">
      <c r="B305" s="35"/>
      <c r="C305" s="33"/>
    </row>
    <row r="306">
      <c r="B306" s="35"/>
      <c r="C306" s="33"/>
    </row>
    <row r="307">
      <c r="B307" s="35"/>
      <c r="C307" s="33"/>
    </row>
    <row r="308">
      <c r="B308" s="35"/>
      <c r="C308" s="33"/>
    </row>
    <row r="309">
      <c r="B309" s="35"/>
      <c r="C309" s="33"/>
    </row>
    <row r="310">
      <c r="B310" s="35"/>
      <c r="C310" s="33"/>
    </row>
    <row r="311">
      <c r="B311" s="35"/>
      <c r="C311" s="33"/>
    </row>
    <row r="312">
      <c r="B312" s="35"/>
      <c r="C312" s="33"/>
    </row>
    <row r="313">
      <c r="B313" s="35"/>
      <c r="C313" s="33"/>
    </row>
    <row r="314">
      <c r="B314" s="35"/>
      <c r="C314" s="33"/>
    </row>
    <row r="315">
      <c r="B315" s="35"/>
      <c r="C315" s="33"/>
    </row>
    <row r="316">
      <c r="B316" s="35"/>
      <c r="C316" s="33"/>
    </row>
    <row r="317">
      <c r="B317" s="35"/>
      <c r="C317" s="33"/>
    </row>
    <row r="318">
      <c r="B318" s="35"/>
      <c r="C318" s="33"/>
    </row>
    <row r="319">
      <c r="B319" s="35"/>
      <c r="C319" s="33"/>
    </row>
    <row r="320">
      <c r="B320" s="35"/>
      <c r="C320" s="33"/>
    </row>
    <row r="321">
      <c r="B321" s="35"/>
      <c r="C321" s="33"/>
    </row>
    <row r="322">
      <c r="B322" s="35"/>
      <c r="C322" s="33"/>
    </row>
    <row r="323">
      <c r="B323" s="35"/>
      <c r="C323" s="33"/>
    </row>
    <row r="324">
      <c r="B324" s="35"/>
      <c r="C324" s="33"/>
    </row>
    <row r="325">
      <c r="B325" s="35"/>
      <c r="C325" s="33"/>
    </row>
    <row r="326">
      <c r="B326" s="35"/>
      <c r="C326" s="33"/>
    </row>
    <row r="327">
      <c r="B327" s="35"/>
      <c r="C327" s="33"/>
    </row>
    <row r="328">
      <c r="B328" s="35"/>
      <c r="C328" s="33"/>
    </row>
    <row r="329">
      <c r="B329" s="35"/>
      <c r="C329" s="33"/>
    </row>
    <row r="330">
      <c r="B330" s="35"/>
      <c r="C330" s="33"/>
    </row>
    <row r="331">
      <c r="B331" s="35"/>
      <c r="C331" s="33"/>
    </row>
    <row r="332">
      <c r="B332" s="35"/>
      <c r="C332" s="33"/>
    </row>
    <row r="333">
      <c r="B333" s="35"/>
      <c r="C333" s="33"/>
    </row>
    <row r="334">
      <c r="B334" s="35"/>
      <c r="C334" s="33"/>
    </row>
    <row r="335">
      <c r="B335" s="35"/>
      <c r="C335" s="33"/>
    </row>
    <row r="336">
      <c r="B336" s="35"/>
      <c r="C336" s="33"/>
    </row>
    <row r="337">
      <c r="B337" s="35"/>
      <c r="C337" s="33"/>
    </row>
    <row r="338">
      <c r="B338" s="35"/>
      <c r="C338" s="33"/>
    </row>
    <row r="339">
      <c r="B339" s="35"/>
      <c r="C339" s="33"/>
    </row>
    <row r="340">
      <c r="B340" s="35"/>
      <c r="C340" s="33"/>
    </row>
    <row r="341">
      <c r="B341" s="35"/>
      <c r="C341" s="33"/>
    </row>
    <row r="342">
      <c r="B342" s="35"/>
      <c r="C342" s="33"/>
    </row>
    <row r="343">
      <c r="B343" s="35"/>
      <c r="C343" s="33"/>
    </row>
    <row r="344">
      <c r="B344" s="35"/>
      <c r="C344" s="33"/>
    </row>
    <row r="345">
      <c r="B345" s="35"/>
      <c r="C345" s="33"/>
    </row>
    <row r="346">
      <c r="B346" s="35"/>
      <c r="C346" s="33"/>
    </row>
    <row r="347">
      <c r="B347" s="35"/>
      <c r="C347" s="33"/>
    </row>
    <row r="348">
      <c r="B348" s="35"/>
      <c r="C348" s="33"/>
    </row>
    <row r="349">
      <c r="B349" s="35"/>
      <c r="C349" s="33"/>
    </row>
    <row r="350">
      <c r="B350" s="35"/>
      <c r="C350" s="33"/>
    </row>
    <row r="351">
      <c r="B351" s="35"/>
      <c r="C351" s="33"/>
    </row>
    <row r="352">
      <c r="B352" s="35"/>
      <c r="C352" s="33"/>
    </row>
    <row r="353">
      <c r="B353" s="35"/>
      <c r="C353" s="33"/>
    </row>
    <row r="354">
      <c r="B354" s="35"/>
      <c r="C354" s="33"/>
    </row>
    <row r="355">
      <c r="B355" s="35"/>
      <c r="C355" s="33"/>
    </row>
    <row r="356">
      <c r="B356" s="35"/>
      <c r="C356" s="33"/>
    </row>
    <row r="357">
      <c r="B357" s="35"/>
      <c r="C357" s="33"/>
    </row>
    <row r="358">
      <c r="B358" s="35"/>
      <c r="C358" s="33"/>
    </row>
    <row r="359">
      <c r="B359" s="35"/>
      <c r="C359" s="33"/>
    </row>
    <row r="360">
      <c r="B360" s="35"/>
      <c r="C360" s="33"/>
    </row>
    <row r="361">
      <c r="B361" s="35"/>
      <c r="C361" s="33"/>
    </row>
    <row r="362">
      <c r="B362" s="35"/>
      <c r="C362" s="33"/>
    </row>
    <row r="363">
      <c r="B363" s="35"/>
      <c r="C363" s="33"/>
    </row>
    <row r="364">
      <c r="B364" s="35"/>
      <c r="C364" s="33"/>
    </row>
    <row r="365">
      <c r="B365" s="35"/>
      <c r="C365" s="33"/>
    </row>
    <row r="366">
      <c r="B366" s="35"/>
      <c r="C366" s="33"/>
    </row>
    <row r="367">
      <c r="B367" s="35"/>
      <c r="C367" s="33"/>
    </row>
    <row r="368">
      <c r="B368" s="35"/>
      <c r="C368" s="33"/>
    </row>
    <row r="369">
      <c r="B369" s="35"/>
      <c r="C369" s="33"/>
    </row>
    <row r="370">
      <c r="B370" s="35"/>
      <c r="C370" s="33"/>
    </row>
    <row r="371">
      <c r="B371" s="35"/>
      <c r="C371" s="33"/>
    </row>
    <row r="372">
      <c r="B372" s="35"/>
      <c r="C372" s="33"/>
    </row>
    <row r="373">
      <c r="B373" s="35"/>
      <c r="C373" s="33"/>
    </row>
    <row r="374">
      <c r="B374" s="35"/>
      <c r="C374" s="33"/>
    </row>
    <row r="375">
      <c r="B375" s="35"/>
      <c r="C375" s="33"/>
    </row>
    <row r="376">
      <c r="B376" s="35"/>
      <c r="C376" s="33"/>
    </row>
    <row r="377">
      <c r="B377" s="35"/>
      <c r="C377" s="33"/>
    </row>
    <row r="378">
      <c r="B378" s="35"/>
      <c r="C378" s="33"/>
    </row>
    <row r="379">
      <c r="B379" s="35"/>
      <c r="C379" s="33"/>
    </row>
    <row r="380">
      <c r="B380" s="35"/>
      <c r="C380" s="33"/>
    </row>
    <row r="381">
      <c r="B381" s="35"/>
      <c r="C381" s="33"/>
    </row>
    <row r="382">
      <c r="B382" s="35"/>
      <c r="C382" s="33"/>
    </row>
    <row r="383">
      <c r="B383" s="35"/>
      <c r="C383" s="33"/>
    </row>
    <row r="384">
      <c r="B384" s="35"/>
      <c r="C384" s="33"/>
    </row>
    <row r="385">
      <c r="B385" s="35"/>
      <c r="C385" s="33"/>
    </row>
    <row r="386">
      <c r="B386" s="35"/>
      <c r="C386" s="33"/>
    </row>
    <row r="387">
      <c r="B387" s="35"/>
      <c r="C387" s="33"/>
    </row>
    <row r="388">
      <c r="B388" s="35"/>
      <c r="C388" s="33"/>
    </row>
    <row r="389">
      <c r="B389" s="35"/>
      <c r="C389" s="33"/>
    </row>
    <row r="390">
      <c r="B390" s="35"/>
      <c r="C390" s="33"/>
    </row>
    <row r="391">
      <c r="B391" s="35"/>
      <c r="C391" s="33"/>
    </row>
    <row r="392">
      <c r="B392" s="35"/>
      <c r="C392" s="33"/>
    </row>
    <row r="393">
      <c r="B393" s="35"/>
      <c r="C393" s="33"/>
    </row>
    <row r="394">
      <c r="B394" s="35"/>
      <c r="C394" s="33"/>
    </row>
    <row r="395">
      <c r="B395" s="35"/>
      <c r="C395" s="33"/>
    </row>
    <row r="396">
      <c r="B396" s="35"/>
      <c r="C396" s="33"/>
    </row>
    <row r="397">
      <c r="B397" s="35"/>
      <c r="C397" s="33"/>
    </row>
    <row r="398">
      <c r="B398" s="35"/>
      <c r="C398" s="33"/>
    </row>
    <row r="399">
      <c r="B399" s="35"/>
      <c r="C399" s="33"/>
    </row>
    <row r="400">
      <c r="B400" s="35"/>
      <c r="C400" s="33"/>
    </row>
    <row r="401">
      <c r="B401" s="35"/>
      <c r="C401" s="33"/>
    </row>
    <row r="402">
      <c r="B402" s="35"/>
      <c r="C402" s="33"/>
    </row>
    <row r="403">
      <c r="B403" s="35"/>
      <c r="C403" s="33"/>
    </row>
    <row r="404">
      <c r="B404" s="35"/>
      <c r="C404" s="33"/>
    </row>
    <row r="405">
      <c r="B405" s="35"/>
      <c r="C405" s="33"/>
    </row>
    <row r="406">
      <c r="B406" s="35"/>
      <c r="C406" s="33"/>
    </row>
    <row r="407">
      <c r="B407" s="35"/>
      <c r="C407" s="33"/>
    </row>
    <row r="408">
      <c r="B408" s="35"/>
      <c r="C408" s="33"/>
    </row>
    <row r="409">
      <c r="B409" s="35"/>
      <c r="C409" s="33"/>
    </row>
    <row r="410">
      <c r="B410" s="35"/>
      <c r="C410" s="33"/>
    </row>
    <row r="411">
      <c r="B411" s="35"/>
      <c r="C411" s="33"/>
    </row>
    <row r="412">
      <c r="B412" s="35"/>
      <c r="C412" s="33"/>
    </row>
    <row r="413">
      <c r="B413" s="35"/>
      <c r="C413" s="33"/>
    </row>
    <row r="414">
      <c r="B414" s="35"/>
      <c r="C414" s="33"/>
    </row>
    <row r="415">
      <c r="B415" s="35"/>
      <c r="C415" s="33"/>
    </row>
    <row r="416">
      <c r="B416" s="35"/>
      <c r="C416" s="33"/>
    </row>
    <row r="417">
      <c r="B417" s="35"/>
      <c r="C417" s="33"/>
    </row>
    <row r="418">
      <c r="B418" s="35"/>
      <c r="C418" s="33"/>
    </row>
    <row r="419">
      <c r="B419" s="35"/>
      <c r="C419" s="33"/>
    </row>
    <row r="420">
      <c r="B420" s="35"/>
      <c r="C420" s="33"/>
    </row>
    <row r="421">
      <c r="B421" s="35"/>
      <c r="C421" s="33"/>
    </row>
    <row r="422">
      <c r="B422" s="35"/>
      <c r="C422" s="33"/>
    </row>
    <row r="423">
      <c r="B423" s="35"/>
      <c r="C423" s="33"/>
    </row>
    <row r="424">
      <c r="B424" s="35"/>
      <c r="C424" s="33"/>
    </row>
    <row r="425">
      <c r="B425" s="35"/>
      <c r="C425" s="33"/>
    </row>
    <row r="426">
      <c r="B426" s="35"/>
      <c r="C426" s="33"/>
    </row>
    <row r="427">
      <c r="B427" s="35"/>
      <c r="C427" s="33"/>
    </row>
    <row r="428">
      <c r="B428" s="35"/>
      <c r="C428" s="33"/>
    </row>
    <row r="429">
      <c r="B429" s="35"/>
      <c r="C429" s="33"/>
    </row>
    <row r="430">
      <c r="B430" s="35"/>
      <c r="C430" s="33"/>
    </row>
    <row r="431">
      <c r="B431" s="35"/>
      <c r="C431" s="33"/>
    </row>
    <row r="432">
      <c r="B432" s="35"/>
      <c r="C432" s="33"/>
    </row>
    <row r="433">
      <c r="B433" s="35"/>
      <c r="C433" s="33"/>
    </row>
    <row r="434">
      <c r="B434" s="35"/>
      <c r="C434" s="33"/>
    </row>
    <row r="435">
      <c r="B435" s="35"/>
      <c r="C435" s="33"/>
    </row>
    <row r="436">
      <c r="B436" s="35"/>
      <c r="C436" s="33"/>
    </row>
    <row r="437">
      <c r="B437" s="35"/>
      <c r="C437" s="33"/>
    </row>
    <row r="438">
      <c r="B438" s="35"/>
      <c r="C438" s="33"/>
    </row>
    <row r="439">
      <c r="B439" s="35"/>
      <c r="C439" s="33"/>
    </row>
    <row r="440">
      <c r="B440" s="35"/>
      <c r="C440" s="33"/>
    </row>
    <row r="441">
      <c r="B441" s="35"/>
      <c r="C441" s="33"/>
    </row>
    <row r="442">
      <c r="B442" s="35"/>
      <c r="C442" s="33"/>
    </row>
    <row r="443">
      <c r="B443" s="35"/>
      <c r="C443" s="33"/>
    </row>
    <row r="444">
      <c r="B444" s="35"/>
      <c r="C444" s="33"/>
    </row>
    <row r="445">
      <c r="B445" s="35"/>
      <c r="C445" s="33"/>
    </row>
    <row r="446">
      <c r="B446" s="35"/>
      <c r="C446" s="33"/>
    </row>
    <row r="447">
      <c r="B447" s="35"/>
      <c r="C447" s="33"/>
    </row>
    <row r="448">
      <c r="B448" s="35"/>
      <c r="C448" s="33"/>
    </row>
    <row r="449">
      <c r="B449" s="35"/>
      <c r="C449" s="33"/>
    </row>
    <row r="450">
      <c r="B450" s="35"/>
      <c r="C450" s="33"/>
    </row>
    <row r="451">
      <c r="B451" s="35"/>
      <c r="C451" s="33"/>
    </row>
    <row r="452">
      <c r="B452" s="35"/>
      <c r="C452" s="33"/>
    </row>
    <row r="453">
      <c r="B453" s="35"/>
      <c r="C453" s="33"/>
    </row>
    <row r="454">
      <c r="B454" s="35"/>
      <c r="C454" s="33"/>
    </row>
    <row r="455">
      <c r="B455" s="35"/>
      <c r="C455" s="33"/>
    </row>
    <row r="456">
      <c r="B456" s="35"/>
      <c r="C456" s="33"/>
    </row>
    <row r="457">
      <c r="B457" s="35"/>
      <c r="C457" s="33"/>
    </row>
    <row r="458">
      <c r="B458" s="35"/>
      <c r="C458" s="33"/>
    </row>
    <row r="459">
      <c r="B459" s="35"/>
      <c r="C459" s="33"/>
    </row>
    <row r="460">
      <c r="B460" s="35"/>
      <c r="C460" s="33"/>
    </row>
    <row r="461">
      <c r="B461" s="35"/>
      <c r="C461" s="33"/>
    </row>
    <row r="462">
      <c r="B462" s="35"/>
      <c r="C462" s="33"/>
    </row>
    <row r="463">
      <c r="B463" s="35"/>
      <c r="C463" s="33"/>
    </row>
    <row r="464">
      <c r="B464" s="35"/>
      <c r="C464" s="33"/>
    </row>
    <row r="465">
      <c r="B465" s="35"/>
      <c r="C465" s="33"/>
    </row>
    <row r="466">
      <c r="B466" s="35"/>
      <c r="C466" s="33"/>
    </row>
    <row r="467">
      <c r="B467" s="35"/>
      <c r="C467" s="33"/>
    </row>
    <row r="468">
      <c r="B468" s="35"/>
      <c r="C468" s="33"/>
    </row>
    <row r="469">
      <c r="B469" s="35"/>
      <c r="C469" s="33"/>
    </row>
    <row r="470">
      <c r="B470" s="35"/>
      <c r="C470" s="33"/>
    </row>
    <row r="471">
      <c r="B471" s="35"/>
      <c r="C471" s="33"/>
    </row>
    <row r="472">
      <c r="B472" s="35"/>
      <c r="C472" s="33"/>
    </row>
    <row r="473">
      <c r="B473" s="35"/>
      <c r="C473" s="33"/>
    </row>
    <row r="474">
      <c r="B474" s="35"/>
      <c r="C474" s="33"/>
    </row>
    <row r="475">
      <c r="B475" s="35"/>
      <c r="C475" s="33"/>
    </row>
    <row r="476">
      <c r="B476" s="35"/>
      <c r="C476" s="33"/>
    </row>
    <row r="477">
      <c r="B477" s="35"/>
      <c r="C477" s="33"/>
    </row>
    <row r="478">
      <c r="B478" s="35"/>
      <c r="C478" s="33"/>
    </row>
    <row r="479">
      <c r="B479" s="35"/>
      <c r="C479" s="33"/>
    </row>
    <row r="480">
      <c r="B480" s="35"/>
      <c r="C480" s="33"/>
    </row>
    <row r="481">
      <c r="B481" s="35"/>
      <c r="C481" s="33"/>
    </row>
    <row r="482">
      <c r="B482" s="35"/>
      <c r="C482" s="33"/>
    </row>
    <row r="483">
      <c r="B483" s="35"/>
      <c r="C483" s="33"/>
    </row>
    <row r="484">
      <c r="B484" s="35"/>
      <c r="C484" s="33"/>
    </row>
    <row r="485">
      <c r="B485" s="35"/>
      <c r="C485" s="33"/>
    </row>
    <row r="486">
      <c r="B486" s="35"/>
      <c r="C486" s="33"/>
    </row>
    <row r="487">
      <c r="B487" s="35"/>
      <c r="C487" s="33"/>
    </row>
    <row r="488">
      <c r="B488" s="35"/>
      <c r="C488" s="33"/>
    </row>
    <row r="489">
      <c r="B489" s="35"/>
      <c r="C489" s="33"/>
    </row>
    <row r="490">
      <c r="B490" s="35"/>
      <c r="C490" s="33"/>
    </row>
    <row r="491">
      <c r="B491" s="35"/>
      <c r="C491" s="33"/>
    </row>
    <row r="492">
      <c r="B492" s="35"/>
      <c r="C492" s="33"/>
    </row>
    <row r="493">
      <c r="B493" s="35"/>
      <c r="C493" s="33"/>
    </row>
    <row r="494">
      <c r="B494" s="35"/>
      <c r="C494" s="33"/>
    </row>
    <row r="495">
      <c r="B495" s="35"/>
      <c r="C495" s="33"/>
    </row>
    <row r="496">
      <c r="B496" s="35"/>
      <c r="C496" s="33"/>
    </row>
    <row r="497">
      <c r="B497" s="35"/>
      <c r="C497" s="33"/>
    </row>
    <row r="498">
      <c r="B498" s="35"/>
      <c r="C498" s="33"/>
    </row>
    <row r="499">
      <c r="B499" s="35"/>
      <c r="C499" s="33"/>
    </row>
    <row r="500">
      <c r="B500" s="35"/>
      <c r="C500" s="33"/>
    </row>
    <row r="501">
      <c r="B501" s="35"/>
      <c r="C501" s="33"/>
    </row>
    <row r="502">
      <c r="B502" s="35"/>
      <c r="C502" s="33"/>
    </row>
    <row r="503">
      <c r="B503" s="35"/>
      <c r="C503" s="33"/>
    </row>
    <row r="504">
      <c r="B504" s="35"/>
      <c r="C504" s="33"/>
    </row>
    <row r="505">
      <c r="B505" s="35"/>
      <c r="C505" s="33"/>
    </row>
    <row r="506">
      <c r="B506" s="35"/>
      <c r="C506" s="33"/>
    </row>
    <row r="507">
      <c r="B507" s="35"/>
      <c r="C507" s="33"/>
    </row>
    <row r="508">
      <c r="B508" s="35"/>
      <c r="C508" s="33"/>
    </row>
    <row r="509">
      <c r="B509" s="35"/>
      <c r="C509" s="33"/>
    </row>
    <row r="510">
      <c r="B510" s="35"/>
      <c r="C510" s="33"/>
    </row>
    <row r="511">
      <c r="B511" s="35"/>
      <c r="C511" s="33"/>
    </row>
    <row r="512">
      <c r="B512" s="35"/>
      <c r="C512" s="33"/>
    </row>
    <row r="513">
      <c r="B513" s="35"/>
      <c r="C513" s="33"/>
    </row>
    <row r="514">
      <c r="B514" s="35"/>
      <c r="C514" s="33"/>
    </row>
    <row r="515">
      <c r="B515" s="35"/>
      <c r="C515" s="33"/>
    </row>
    <row r="516">
      <c r="B516" s="35"/>
      <c r="C516" s="33"/>
    </row>
    <row r="517">
      <c r="B517" s="35"/>
      <c r="C517" s="33"/>
    </row>
    <row r="518">
      <c r="B518" s="35"/>
      <c r="C518" s="33"/>
    </row>
    <row r="519">
      <c r="B519" s="35"/>
      <c r="C519" s="33"/>
    </row>
    <row r="520">
      <c r="B520" s="35"/>
      <c r="C520" s="33"/>
    </row>
    <row r="521">
      <c r="B521" s="35"/>
      <c r="C521" s="33"/>
    </row>
    <row r="522">
      <c r="B522" s="35"/>
      <c r="C522" s="33"/>
    </row>
    <row r="523">
      <c r="B523" s="35"/>
      <c r="C523" s="33"/>
    </row>
    <row r="524">
      <c r="B524" s="35"/>
      <c r="C524" s="33"/>
    </row>
    <row r="525">
      <c r="B525" s="35"/>
      <c r="C525" s="33"/>
    </row>
    <row r="526">
      <c r="B526" s="35"/>
      <c r="C526" s="33"/>
    </row>
    <row r="527">
      <c r="B527" s="35"/>
      <c r="C527" s="33"/>
    </row>
    <row r="528">
      <c r="B528" s="35"/>
      <c r="C528" s="33"/>
    </row>
    <row r="529">
      <c r="B529" s="35"/>
      <c r="C529" s="33"/>
    </row>
    <row r="530">
      <c r="B530" s="35"/>
      <c r="C530" s="33"/>
    </row>
    <row r="531">
      <c r="B531" s="35"/>
      <c r="C531" s="33"/>
    </row>
    <row r="532">
      <c r="B532" s="35"/>
      <c r="C532" s="33"/>
    </row>
    <row r="533">
      <c r="B533" s="35"/>
      <c r="C533" s="33"/>
    </row>
    <row r="534">
      <c r="B534" s="35"/>
      <c r="C534" s="33"/>
    </row>
    <row r="535">
      <c r="B535" s="35"/>
      <c r="C535" s="33"/>
    </row>
    <row r="536">
      <c r="B536" s="35"/>
      <c r="C536" s="33"/>
    </row>
    <row r="537">
      <c r="B537" s="35"/>
      <c r="C537" s="33"/>
    </row>
    <row r="538">
      <c r="B538" s="35"/>
      <c r="C538" s="33"/>
    </row>
    <row r="539">
      <c r="B539" s="35"/>
      <c r="C539" s="33"/>
    </row>
    <row r="540">
      <c r="B540" s="35"/>
      <c r="C540" s="33"/>
    </row>
    <row r="541">
      <c r="B541" s="35"/>
      <c r="C541" s="33"/>
    </row>
    <row r="542">
      <c r="B542" s="35"/>
      <c r="C542" s="33"/>
    </row>
    <row r="543">
      <c r="B543" s="35"/>
      <c r="C543" s="33"/>
    </row>
    <row r="544">
      <c r="B544" s="35"/>
      <c r="C544" s="33"/>
    </row>
    <row r="545">
      <c r="B545" s="35"/>
      <c r="C545" s="33"/>
    </row>
    <row r="546">
      <c r="B546" s="35"/>
      <c r="C546" s="33"/>
    </row>
    <row r="547">
      <c r="B547" s="35"/>
      <c r="C547" s="33"/>
    </row>
    <row r="548">
      <c r="B548" s="35"/>
      <c r="C548" s="33"/>
    </row>
    <row r="549">
      <c r="B549" s="35"/>
      <c r="C549" s="33"/>
    </row>
    <row r="550">
      <c r="B550" s="35"/>
      <c r="C550" s="33"/>
    </row>
    <row r="551">
      <c r="B551" s="35"/>
      <c r="C551" s="33"/>
    </row>
    <row r="552">
      <c r="B552" s="35"/>
      <c r="C552" s="33"/>
    </row>
    <row r="553">
      <c r="B553" s="35"/>
      <c r="C553" s="33"/>
    </row>
    <row r="554">
      <c r="B554" s="35"/>
      <c r="C554" s="33"/>
    </row>
    <row r="555">
      <c r="B555" s="35"/>
      <c r="C555" s="33"/>
    </row>
    <row r="556">
      <c r="B556" s="35"/>
      <c r="C556" s="33"/>
    </row>
    <row r="557">
      <c r="B557" s="35"/>
      <c r="C557" s="33"/>
    </row>
    <row r="558">
      <c r="B558" s="35"/>
      <c r="C558" s="33"/>
    </row>
    <row r="559">
      <c r="B559" s="35"/>
      <c r="C559" s="33"/>
    </row>
    <row r="560">
      <c r="B560" s="35"/>
      <c r="C560" s="33"/>
    </row>
    <row r="561">
      <c r="B561" s="35"/>
      <c r="C561" s="33"/>
    </row>
    <row r="562">
      <c r="B562" s="35"/>
      <c r="C562" s="33"/>
    </row>
    <row r="563">
      <c r="B563" s="35"/>
      <c r="C563" s="33"/>
    </row>
    <row r="564">
      <c r="B564" s="35"/>
      <c r="C564" s="33"/>
    </row>
    <row r="565">
      <c r="B565" s="35"/>
      <c r="C565" s="33"/>
    </row>
    <row r="566">
      <c r="B566" s="35"/>
      <c r="C566" s="33"/>
    </row>
    <row r="567">
      <c r="B567" s="35"/>
      <c r="C567" s="33"/>
    </row>
    <row r="568">
      <c r="B568" s="35"/>
      <c r="C568" s="33"/>
    </row>
    <row r="569">
      <c r="B569" s="35"/>
      <c r="C569" s="33"/>
    </row>
    <row r="570">
      <c r="B570" s="35"/>
      <c r="C570" s="33"/>
    </row>
    <row r="571">
      <c r="B571" s="35"/>
      <c r="C571" s="33"/>
    </row>
    <row r="572">
      <c r="B572" s="35"/>
      <c r="C572" s="33"/>
    </row>
    <row r="573">
      <c r="B573" s="35"/>
      <c r="C573" s="33"/>
    </row>
    <row r="574">
      <c r="B574" s="35"/>
      <c r="C574" s="33"/>
    </row>
    <row r="575">
      <c r="B575" s="35"/>
      <c r="C575" s="33"/>
    </row>
    <row r="576">
      <c r="B576" s="35"/>
      <c r="C576" s="33"/>
    </row>
    <row r="577">
      <c r="B577" s="35"/>
      <c r="C577" s="33"/>
    </row>
    <row r="578">
      <c r="B578" s="35"/>
      <c r="C578" s="33"/>
    </row>
    <row r="579">
      <c r="B579" s="35"/>
      <c r="C579" s="33"/>
    </row>
    <row r="580">
      <c r="B580" s="35"/>
      <c r="C580" s="33"/>
    </row>
    <row r="581">
      <c r="B581" s="35"/>
      <c r="C581" s="33"/>
    </row>
    <row r="582">
      <c r="B582" s="35"/>
      <c r="C582" s="33"/>
    </row>
    <row r="583">
      <c r="B583" s="35"/>
      <c r="C583" s="33"/>
    </row>
    <row r="584">
      <c r="B584" s="35"/>
      <c r="C584" s="33"/>
    </row>
    <row r="585">
      <c r="B585" s="35"/>
      <c r="C585" s="33"/>
    </row>
    <row r="586">
      <c r="B586" s="35"/>
      <c r="C586" s="33"/>
    </row>
    <row r="587">
      <c r="B587" s="35"/>
      <c r="C587" s="33"/>
    </row>
    <row r="588">
      <c r="B588" s="35"/>
      <c r="C588" s="33"/>
    </row>
    <row r="589">
      <c r="B589" s="35"/>
      <c r="C589" s="33"/>
    </row>
    <row r="590">
      <c r="B590" s="35"/>
      <c r="C590" s="33"/>
    </row>
    <row r="591">
      <c r="B591" s="35"/>
      <c r="C591" s="33"/>
    </row>
    <row r="592">
      <c r="B592" s="35"/>
      <c r="C592" s="33"/>
    </row>
    <row r="593">
      <c r="B593" s="35"/>
      <c r="C593" s="33"/>
    </row>
    <row r="594">
      <c r="B594" s="35"/>
      <c r="C594" s="33"/>
    </row>
    <row r="595">
      <c r="B595" s="35"/>
      <c r="C595" s="33"/>
    </row>
    <row r="596">
      <c r="B596" s="35"/>
      <c r="C596" s="33"/>
    </row>
    <row r="597">
      <c r="B597" s="35"/>
      <c r="C597" s="33"/>
    </row>
    <row r="598">
      <c r="B598" s="35"/>
      <c r="C598" s="33"/>
    </row>
    <row r="599">
      <c r="B599" s="35"/>
      <c r="C599" s="33"/>
    </row>
    <row r="600">
      <c r="B600" s="35"/>
      <c r="C600" s="33"/>
    </row>
    <row r="601">
      <c r="B601" s="35"/>
      <c r="C601" s="33"/>
    </row>
    <row r="602">
      <c r="B602" s="35"/>
      <c r="C602" s="33"/>
    </row>
    <row r="603">
      <c r="B603" s="35"/>
      <c r="C603" s="33"/>
    </row>
    <row r="604">
      <c r="B604" s="35"/>
      <c r="C604" s="33"/>
    </row>
    <row r="605">
      <c r="B605" s="35"/>
      <c r="C605" s="33"/>
    </row>
    <row r="606">
      <c r="B606" s="35"/>
      <c r="C606" s="33"/>
    </row>
    <row r="607">
      <c r="B607" s="35"/>
      <c r="C607" s="33"/>
    </row>
    <row r="608">
      <c r="B608" s="35"/>
      <c r="C608" s="33"/>
    </row>
    <row r="609">
      <c r="B609" s="35"/>
      <c r="C609" s="33"/>
    </row>
    <row r="610">
      <c r="B610" s="35"/>
      <c r="C610" s="33"/>
    </row>
    <row r="611">
      <c r="B611" s="35"/>
      <c r="C611" s="33"/>
    </row>
    <row r="612">
      <c r="B612" s="35"/>
      <c r="C612" s="33"/>
    </row>
    <row r="613">
      <c r="B613" s="35"/>
      <c r="C613" s="33"/>
    </row>
    <row r="614">
      <c r="B614" s="35"/>
      <c r="C614" s="33"/>
    </row>
    <row r="615">
      <c r="B615" s="35"/>
      <c r="C615" s="33"/>
    </row>
    <row r="616">
      <c r="B616" s="35"/>
      <c r="C616" s="33"/>
    </row>
    <row r="617">
      <c r="B617" s="35"/>
      <c r="C617" s="33"/>
    </row>
    <row r="618">
      <c r="B618" s="35"/>
      <c r="C618" s="33"/>
    </row>
    <row r="619">
      <c r="B619" s="35"/>
      <c r="C619" s="33"/>
    </row>
    <row r="620">
      <c r="B620" s="35"/>
      <c r="C620" s="33"/>
    </row>
    <row r="621">
      <c r="B621" s="35"/>
      <c r="C621" s="33"/>
    </row>
    <row r="622">
      <c r="B622" s="35"/>
      <c r="C622" s="33"/>
    </row>
    <row r="623">
      <c r="B623" s="35"/>
      <c r="C623" s="33"/>
    </row>
    <row r="624">
      <c r="B624" s="35"/>
      <c r="C624" s="33"/>
    </row>
    <row r="625">
      <c r="B625" s="35"/>
      <c r="C625" s="33"/>
    </row>
    <row r="626">
      <c r="B626" s="35"/>
      <c r="C626" s="33"/>
    </row>
    <row r="627">
      <c r="B627" s="35"/>
      <c r="C627" s="33"/>
    </row>
    <row r="628">
      <c r="B628" s="35"/>
      <c r="C628" s="33"/>
    </row>
    <row r="629">
      <c r="B629" s="35"/>
      <c r="C629" s="33"/>
    </row>
    <row r="630">
      <c r="B630" s="35"/>
      <c r="C630" s="33"/>
    </row>
    <row r="631">
      <c r="B631" s="35"/>
      <c r="C631" s="33"/>
    </row>
    <row r="632">
      <c r="B632" s="35"/>
      <c r="C632" s="33"/>
    </row>
    <row r="633">
      <c r="B633" s="35"/>
      <c r="C633" s="33"/>
    </row>
    <row r="634">
      <c r="B634" s="35"/>
      <c r="C634" s="33"/>
    </row>
    <row r="635">
      <c r="B635" s="35"/>
      <c r="C635" s="33"/>
    </row>
    <row r="636">
      <c r="B636" s="35"/>
      <c r="C636" s="33"/>
    </row>
    <row r="637">
      <c r="B637" s="35"/>
      <c r="C637" s="33"/>
    </row>
    <row r="638">
      <c r="B638" s="35"/>
      <c r="C638" s="33"/>
    </row>
    <row r="639">
      <c r="B639" s="35"/>
      <c r="C639" s="33"/>
    </row>
    <row r="640">
      <c r="B640" s="35"/>
      <c r="C640" s="33"/>
    </row>
    <row r="641">
      <c r="B641" s="35"/>
      <c r="C641" s="33"/>
    </row>
    <row r="642">
      <c r="B642" s="35"/>
      <c r="C642" s="33"/>
    </row>
    <row r="643">
      <c r="B643" s="35"/>
      <c r="C643" s="33"/>
    </row>
    <row r="644">
      <c r="B644" s="35"/>
      <c r="C644" s="33"/>
    </row>
    <row r="645">
      <c r="B645" s="35"/>
      <c r="C645" s="33"/>
    </row>
    <row r="646">
      <c r="B646" s="35"/>
      <c r="C646" s="33"/>
    </row>
    <row r="647">
      <c r="B647" s="35"/>
      <c r="C647" s="33"/>
    </row>
    <row r="648">
      <c r="B648" s="35"/>
      <c r="C648" s="33"/>
    </row>
    <row r="649">
      <c r="B649" s="35"/>
      <c r="C649" s="33"/>
    </row>
    <row r="650">
      <c r="B650" s="35"/>
      <c r="C650" s="33"/>
    </row>
    <row r="651">
      <c r="B651" s="35"/>
      <c r="C651" s="33"/>
    </row>
    <row r="652">
      <c r="B652" s="35"/>
      <c r="C652" s="33"/>
    </row>
    <row r="653">
      <c r="B653" s="35"/>
      <c r="C653" s="33"/>
    </row>
    <row r="654">
      <c r="B654" s="35"/>
      <c r="C654" s="33"/>
    </row>
    <row r="655">
      <c r="B655" s="35"/>
      <c r="C655" s="33"/>
    </row>
    <row r="656">
      <c r="B656" s="35"/>
      <c r="C656" s="33"/>
    </row>
    <row r="657">
      <c r="B657" s="35"/>
      <c r="C657" s="33"/>
    </row>
    <row r="658">
      <c r="B658" s="35"/>
      <c r="C658" s="33"/>
    </row>
    <row r="659">
      <c r="B659" s="35"/>
      <c r="C659" s="33"/>
    </row>
    <row r="660">
      <c r="B660" s="35"/>
      <c r="C660" s="33"/>
    </row>
    <row r="661">
      <c r="B661" s="35"/>
      <c r="C661" s="33"/>
    </row>
    <row r="662">
      <c r="B662" s="35"/>
      <c r="C662" s="33"/>
    </row>
    <row r="663">
      <c r="B663" s="35"/>
      <c r="C663" s="33"/>
    </row>
    <row r="664">
      <c r="B664" s="35"/>
      <c r="C664" s="33"/>
    </row>
    <row r="665">
      <c r="B665" s="35"/>
      <c r="C665" s="33"/>
    </row>
    <row r="666">
      <c r="B666" s="35"/>
      <c r="C666" s="33"/>
    </row>
    <row r="667">
      <c r="B667" s="35"/>
      <c r="C667" s="33"/>
    </row>
    <row r="668">
      <c r="B668" s="35"/>
      <c r="C668" s="33"/>
    </row>
    <row r="669">
      <c r="B669" s="35"/>
      <c r="C669" s="33"/>
    </row>
    <row r="670">
      <c r="B670" s="35"/>
      <c r="C670" s="33"/>
    </row>
    <row r="671">
      <c r="B671" s="35"/>
      <c r="C671" s="33"/>
    </row>
    <row r="672">
      <c r="B672" s="35"/>
      <c r="C672" s="33"/>
    </row>
    <row r="673">
      <c r="B673" s="35"/>
      <c r="C673" s="33"/>
    </row>
    <row r="674">
      <c r="B674" s="35"/>
      <c r="C674" s="33"/>
    </row>
    <row r="675">
      <c r="B675" s="35"/>
      <c r="C675" s="33"/>
    </row>
    <row r="676">
      <c r="B676" s="35"/>
      <c r="C676" s="33"/>
    </row>
    <row r="677">
      <c r="B677" s="35"/>
      <c r="C677" s="33"/>
    </row>
    <row r="678">
      <c r="B678" s="35"/>
      <c r="C678" s="33"/>
    </row>
    <row r="679">
      <c r="B679" s="35"/>
      <c r="C679" s="33"/>
    </row>
    <row r="680">
      <c r="B680" s="35"/>
      <c r="C680" s="33"/>
    </row>
    <row r="681">
      <c r="B681" s="35"/>
      <c r="C681" s="33"/>
    </row>
    <row r="682">
      <c r="B682" s="35"/>
      <c r="C682" s="33"/>
    </row>
    <row r="683">
      <c r="B683" s="35"/>
      <c r="C683" s="33"/>
    </row>
    <row r="684">
      <c r="B684" s="35"/>
      <c r="C684" s="33"/>
    </row>
    <row r="685">
      <c r="B685" s="35"/>
      <c r="C685" s="33"/>
    </row>
    <row r="686">
      <c r="B686" s="35"/>
      <c r="C686" s="33"/>
    </row>
    <row r="687">
      <c r="B687" s="35"/>
      <c r="C687" s="33"/>
    </row>
    <row r="688">
      <c r="B688" s="35"/>
      <c r="C688" s="33"/>
    </row>
    <row r="689">
      <c r="B689" s="35"/>
      <c r="C689" s="33"/>
    </row>
    <row r="690">
      <c r="B690" s="35"/>
      <c r="C690" s="33"/>
    </row>
    <row r="691">
      <c r="B691" s="35"/>
      <c r="C691" s="33"/>
    </row>
    <row r="692">
      <c r="B692" s="35"/>
      <c r="C692" s="33"/>
    </row>
    <row r="693">
      <c r="B693" s="35"/>
      <c r="C693" s="33"/>
    </row>
    <row r="694">
      <c r="B694" s="35"/>
      <c r="C694" s="33"/>
    </row>
    <row r="695">
      <c r="B695" s="35"/>
      <c r="C695" s="33"/>
    </row>
    <row r="696">
      <c r="B696" s="35"/>
      <c r="C696" s="33"/>
    </row>
    <row r="697">
      <c r="B697" s="35"/>
      <c r="C697" s="33"/>
    </row>
    <row r="698">
      <c r="B698" s="35"/>
      <c r="C698" s="33"/>
    </row>
    <row r="699">
      <c r="B699" s="35"/>
      <c r="C699" s="33"/>
    </row>
    <row r="700">
      <c r="B700" s="35"/>
      <c r="C700" s="33"/>
    </row>
    <row r="701">
      <c r="B701" s="35"/>
      <c r="C701" s="33"/>
    </row>
    <row r="702">
      <c r="B702" s="35"/>
      <c r="C702" s="33"/>
    </row>
    <row r="703">
      <c r="B703" s="35"/>
      <c r="C703" s="33"/>
    </row>
    <row r="704">
      <c r="B704" s="35"/>
      <c r="C704" s="33"/>
    </row>
    <row r="705">
      <c r="B705" s="35"/>
      <c r="C705" s="33"/>
    </row>
    <row r="706">
      <c r="B706" s="35"/>
      <c r="C706" s="33"/>
    </row>
    <row r="707">
      <c r="B707" s="35"/>
      <c r="C707" s="33"/>
    </row>
    <row r="708">
      <c r="B708" s="35"/>
      <c r="C708" s="33"/>
    </row>
    <row r="709">
      <c r="B709" s="35"/>
      <c r="C709" s="33"/>
    </row>
    <row r="710">
      <c r="B710" s="35"/>
      <c r="C710" s="33"/>
    </row>
    <row r="711">
      <c r="B711" s="35"/>
      <c r="C711" s="33"/>
    </row>
    <row r="712">
      <c r="B712" s="35"/>
      <c r="C712" s="33"/>
    </row>
    <row r="713">
      <c r="B713" s="35"/>
      <c r="C713" s="33"/>
    </row>
    <row r="714">
      <c r="B714" s="35"/>
      <c r="C714" s="33"/>
    </row>
    <row r="715">
      <c r="B715" s="35"/>
      <c r="C715" s="33"/>
    </row>
    <row r="716">
      <c r="B716" s="35"/>
      <c r="C716" s="33"/>
    </row>
    <row r="717">
      <c r="B717" s="35"/>
      <c r="C717" s="33"/>
    </row>
    <row r="718">
      <c r="B718" s="35"/>
      <c r="C718" s="33"/>
    </row>
    <row r="719">
      <c r="B719" s="35"/>
      <c r="C719" s="33"/>
    </row>
    <row r="720">
      <c r="B720" s="35"/>
      <c r="C720" s="33"/>
    </row>
    <row r="721">
      <c r="B721" s="35"/>
      <c r="C721" s="33"/>
    </row>
    <row r="722">
      <c r="B722" s="35"/>
      <c r="C722" s="33"/>
    </row>
    <row r="723">
      <c r="B723" s="35"/>
      <c r="C723" s="33"/>
    </row>
    <row r="724">
      <c r="B724" s="35"/>
      <c r="C724" s="33"/>
    </row>
    <row r="725">
      <c r="B725" s="35"/>
      <c r="C725" s="33"/>
    </row>
    <row r="726">
      <c r="B726" s="35"/>
      <c r="C726" s="33"/>
    </row>
    <row r="727">
      <c r="B727" s="35"/>
      <c r="C727" s="33"/>
    </row>
    <row r="728">
      <c r="B728" s="35"/>
      <c r="C728" s="33"/>
    </row>
    <row r="729">
      <c r="B729" s="35"/>
      <c r="C729" s="33"/>
    </row>
    <row r="730">
      <c r="B730" s="35"/>
      <c r="C730" s="33"/>
    </row>
    <row r="731">
      <c r="B731" s="35"/>
      <c r="C731" s="33"/>
    </row>
    <row r="732">
      <c r="B732" s="35"/>
      <c r="C732" s="33"/>
    </row>
    <row r="733">
      <c r="B733" s="35"/>
      <c r="C733" s="33"/>
    </row>
    <row r="734">
      <c r="B734" s="35"/>
      <c r="C734" s="33"/>
    </row>
    <row r="735">
      <c r="B735" s="35"/>
      <c r="C735" s="33"/>
    </row>
    <row r="736">
      <c r="B736" s="35"/>
      <c r="C736" s="33"/>
    </row>
    <row r="737">
      <c r="B737" s="35"/>
      <c r="C737" s="33"/>
    </row>
    <row r="738">
      <c r="B738" s="35"/>
      <c r="C738" s="33"/>
    </row>
    <row r="739">
      <c r="B739" s="35"/>
      <c r="C739" s="33"/>
    </row>
    <row r="740">
      <c r="B740" s="35"/>
      <c r="C740" s="33"/>
    </row>
    <row r="741">
      <c r="B741" s="35"/>
      <c r="C741" s="33"/>
    </row>
    <row r="742">
      <c r="B742" s="35"/>
      <c r="C742" s="33"/>
    </row>
    <row r="743">
      <c r="B743" s="35"/>
      <c r="C743" s="33"/>
    </row>
    <row r="744">
      <c r="B744" s="35"/>
      <c r="C744" s="33"/>
    </row>
    <row r="745">
      <c r="B745" s="35"/>
      <c r="C745" s="33"/>
    </row>
    <row r="746">
      <c r="B746" s="35"/>
      <c r="C746" s="33"/>
    </row>
    <row r="747">
      <c r="B747" s="35"/>
      <c r="C747" s="33"/>
    </row>
    <row r="748">
      <c r="B748" s="35"/>
      <c r="C748" s="33"/>
    </row>
    <row r="749">
      <c r="B749" s="35"/>
      <c r="C749" s="33"/>
    </row>
    <row r="750">
      <c r="B750" s="35"/>
      <c r="C750" s="33"/>
    </row>
    <row r="751">
      <c r="B751" s="35"/>
      <c r="C751" s="33"/>
    </row>
    <row r="752">
      <c r="B752" s="35"/>
      <c r="C752" s="33"/>
    </row>
    <row r="753">
      <c r="B753" s="35"/>
      <c r="C753" s="33"/>
    </row>
    <row r="754">
      <c r="B754" s="35"/>
      <c r="C754" s="33"/>
    </row>
    <row r="755">
      <c r="B755" s="35"/>
      <c r="C755" s="33"/>
    </row>
    <row r="756">
      <c r="B756" s="35"/>
      <c r="C756" s="33"/>
    </row>
    <row r="757">
      <c r="B757" s="35"/>
      <c r="C757" s="33"/>
    </row>
    <row r="758">
      <c r="B758" s="35"/>
      <c r="C758" s="33"/>
    </row>
    <row r="759">
      <c r="B759" s="35"/>
      <c r="C759" s="33"/>
    </row>
    <row r="760">
      <c r="B760" s="35"/>
      <c r="C760" s="33"/>
    </row>
    <row r="761">
      <c r="B761" s="35"/>
      <c r="C761" s="33"/>
    </row>
    <row r="762">
      <c r="B762" s="35"/>
      <c r="C762" s="33"/>
    </row>
    <row r="763">
      <c r="B763" s="35"/>
      <c r="C763" s="33"/>
    </row>
    <row r="764">
      <c r="B764" s="35"/>
      <c r="C764" s="33"/>
    </row>
    <row r="765">
      <c r="B765" s="35"/>
      <c r="C765" s="33"/>
    </row>
    <row r="766">
      <c r="B766" s="35"/>
      <c r="C766" s="33"/>
    </row>
    <row r="767">
      <c r="B767" s="35"/>
      <c r="C767" s="33"/>
    </row>
    <row r="768">
      <c r="B768" s="35"/>
      <c r="C768" s="33"/>
    </row>
    <row r="769">
      <c r="B769" s="35"/>
      <c r="C769" s="33"/>
    </row>
    <row r="770">
      <c r="B770" s="35"/>
      <c r="C770" s="33"/>
    </row>
    <row r="771">
      <c r="B771" s="35"/>
      <c r="C771" s="33"/>
    </row>
    <row r="772">
      <c r="B772" s="35"/>
      <c r="C772" s="33"/>
    </row>
    <row r="773">
      <c r="B773" s="35"/>
      <c r="C773" s="33"/>
    </row>
    <row r="774">
      <c r="B774" s="35"/>
      <c r="C774" s="33"/>
    </row>
    <row r="775">
      <c r="B775" s="35"/>
      <c r="C775" s="33"/>
    </row>
    <row r="776">
      <c r="B776" s="35"/>
      <c r="C776" s="33"/>
    </row>
    <row r="777">
      <c r="B777" s="35"/>
      <c r="C777" s="33"/>
    </row>
    <row r="778">
      <c r="B778" s="35"/>
      <c r="C778" s="33"/>
    </row>
    <row r="779">
      <c r="B779" s="35"/>
      <c r="C779" s="33"/>
    </row>
    <row r="780">
      <c r="B780" s="35"/>
      <c r="C780" s="33"/>
    </row>
    <row r="781">
      <c r="B781" s="35"/>
      <c r="C781" s="33"/>
    </row>
    <row r="782">
      <c r="B782" s="35"/>
      <c r="C782" s="33"/>
    </row>
    <row r="783">
      <c r="B783" s="35"/>
      <c r="C783" s="33"/>
    </row>
    <row r="784">
      <c r="B784" s="35"/>
      <c r="C784" s="33"/>
    </row>
    <row r="785">
      <c r="B785" s="35"/>
      <c r="C785" s="33"/>
    </row>
    <row r="786">
      <c r="B786" s="35"/>
      <c r="C786" s="33"/>
    </row>
    <row r="787">
      <c r="B787" s="35"/>
      <c r="C787" s="33"/>
    </row>
    <row r="788">
      <c r="B788" s="35"/>
      <c r="C788" s="33"/>
    </row>
    <row r="789">
      <c r="B789" s="35"/>
      <c r="C789" s="33"/>
    </row>
    <row r="790">
      <c r="B790" s="35"/>
      <c r="C790" s="33"/>
    </row>
    <row r="791">
      <c r="B791" s="35"/>
      <c r="C791" s="33"/>
    </row>
    <row r="792">
      <c r="B792" s="35"/>
      <c r="C792" s="33"/>
    </row>
    <row r="793">
      <c r="B793" s="35"/>
      <c r="C793" s="33"/>
    </row>
    <row r="794">
      <c r="B794" s="35"/>
      <c r="C794" s="33"/>
    </row>
    <row r="795">
      <c r="B795" s="35"/>
      <c r="C795" s="33"/>
    </row>
    <row r="796">
      <c r="B796" s="35"/>
      <c r="C796" s="33"/>
    </row>
    <row r="797">
      <c r="B797" s="35"/>
      <c r="C797" s="33"/>
    </row>
    <row r="798">
      <c r="B798" s="35"/>
      <c r="C798" s="33"/>
    </row>
    <row r="799">
      <c r="B799" s="35"/>
      <c r="C799" s="33"/>
    </row>
    <row r="800">
      <c r="B800" s="35"/>
      <c r="C800" s="33"/>
    </row>
    <row r="801">
      <c r="B801" s="35"/>
      <c r="C801" s="33"/>
    </row>
    <row r="802">
      <c r="B802" s="35"/>
      <c r="C802" s="33"/>
    </row>
    <row r="803">
      <c r="B803" s="35"/>
      <c r="C803" s="33"/>
    </row>
    <row r="804">
      <c r="B804" s="35"/>
      <c r="C804" s="33"/>
    </row>
    <row r="805">
      <c r="B805" s="35"/>
      <c r="C805" s="33"/>
    </row>
    <row r="806">
      <c r="B806" s="35"/>
      <c r="C806" s="33"/>
    </row>
    <row r="807">
      <c r="B807" s="35"/>
      <c r="C807" s="33"/>
    </row>
    <row r="808">
      <c r="B808" s="35"/>
      <c r="C808" s="33"/>
    </row>
    <row r="809">
      <c r="B809" s="35"/>
      <c r="C809" s="33"/>
    </row>
    <row r="810">
      <c r="B810" s="35"/>
      <c r="C810" s="33"/>
    </row>
    <row r="811">
      <c r="B811" s="35"/>
      <c r="C811" s="33"/>
    </row>
    <row r="812">
      <c r="B812" s="35"/>
      <c r="C812" s="33"/>
    </row>
    <row r="813">
      <c r="B813" s="35"/>
      <c r="C813" s="33"/>
    </row>
    <row r="814">
      <c r="B814" s="35"/>
      <c r="C814" s="33"/>
    </row>
    <row r="815">
      <c r="B815" s="35"/>
      <c r="C815" s="33"/>
    </row>
    <row r="816">
      <c r="B816" s="35"/>
      <c r="C816" s="33"/>
    </row>
    <row r="817">
      <c r="B817" s="35"/>
      <c r="C817" s="33"/>
    </row>
    <row r="818">
      <c r="B818" s="35"/>
      <c r="C818" s="33"/>
    </row>
    <row r="819">
      <c r="B819" s="35"/>
      <c r="C819" s="33"/>
    </row>
    <row r="820">
      <c r="B820" s="35"/>
      <c r="C820" s="33"/>
    </row>
    <row r="821">
      <c r="B821" s="35"/>
      <c r="C821" s="33"/>
    </row>
    <row r="822">
      <c r="B822" s="35"/>
      <c r="C822" s="33"/>
    </row>
    <row r="823">
      <c r="B823" s="35"/>
      <c r="C823" s="33"/>
    </row>
    <row r="824">
      <c r="B824" s="35"/>
      <c r="C824" s="33"/>
    </row>
    <row r="825">
      <c r="B825" s="35"/>
      <c r="C825" s="33"/>
    </row>
    <row r="826">
      <c r="B826" s="35"/>
      <c r="C826" s="33"/>
    </row>
    <row r="827">
      <c r="B827" s="35"/>
      <c r="C827" s="33"/>
    </row>
    <row r="828">
      <c r="B828" s="35"/>
      <c r="C828" s="33"/>
    </row>
    <row r="829">
      <c r="B829" s="35"/>
      <c r="C829" s="33"/>
    </row>
    <row r="830">
      <c r="B830" s="35"/>
      <c r="C830" s="33"/>
    </row>
    <row r="831">
      <c r="B831" s="35"/>
      <c r="C831" s="33"/>
    </row>
    <row r="832">
      <c r="B832" s="35"/>
      <c r="C832" s="33"/>
    </row>
    <row r="833">
      <c r="B833" s="35"/>
      <c r="C833" s="33"/>
    </row>
    <row r="834">
      <c r="B834" s="35"/>
      <c r="C834" s="33"/>
    </row>
    <row r="835">
      <c r="B835" s="35"/>
      <c r="C835" s="33"/>
    </row>
    <row r="836">
      <c r="B836" s="35"/>
      <c r="C836" s="33"/>
    </row>
    <row r="837">
      <c r="B837" s="35"/>
      <c r="C837" s="33"/>
    </row>
    <row r="838">
      <c r="B838" s="35"/>
      <c r="C838" s="33"/>
    </row>
    <row r="839">
      <c r="B839" s="35"/>
      <c r="C839" s="33"/>
    </row>
    <row r="840">
      <c r="B840" s="35"/>
      <c r="C840" s="33"/>
    </row>
    <row r="841">
      <c r="B841" s="35"/>
      <c r="C841" s="33"/>
    </row>
    <row r="842">
      <c r="B842" s="35"/>
      <c r="C842" s="33"/>
    </row>
    <row r="843">
      <c r="B843" s="35"/>
      <c r="C843" s="33"/>
    </row>
    <row r="844">
      <c r="B844" s="35"/>
      <c r="C844" s="33"/>
    </row>
    <row r="845">
      <c r="B845" s="35"/>
      <c r="C845" s="33"/>
    </row>
    <row r="846">
      <c r="B846" s="35"/>
      <c r="C846" s="33"/>
    </row>
    <row r="847">
      <c r="B847" s="35"/>
      <c r="C847" s="33"/>
    </row>
    <row r="848">
      <c r="B848" s="35"/>
      <c r="C848" s="33"/>
    </row>
    <row r="849">
      <c r="B849" s="35"/>
      <c r="C849" s="33"/>
    </row>
    <row r="850">
      <c r="B850" s="35"/>
      <c r="C850" s="33"/>
    </row>
    <row r="851">
      <c r="B851" s="35"/>
      <c r="C851" s="33"/>
    </row>
    <row r="852">
      <c r="B852" s="35"/>
      <c r="C852" s="33"/>
    </row>
    <row r="853">
      <c r="B853" s="35"/>
      <c r="C853" s="33"/>
    </row>
    <row r="854">
      <c r="B854" s="35"/>
      <c r="C854" s="33"/>
    </row>
    <row r="855">
      <c r="B855" s="35"/>
      <c r="C855" s="33"/>
    </row>
    <row r="856">
      <c r="B856" s="35"/>
      <c r="C856" s="33"/>
    </row>
    <row r="857">
      <c r="B857" s="35"/>
      <c r="C857" s="33"/>
    </row>
    <row r="858">
      <c r="B858" s="35"/>
      <c r="C858" s="33"/>
    </row>
    <row r="859">
      <c r="B859" s="35"/>
      <c r="C859" s="33"/>
    </row>
    <row r="860">
      <c r="B860" s="35"/>
      <c r="C860" s="33"/>
    </row>
    <row r="861">
      <c r="B861" s="35"/>
      <c r="C861" s="33"/>
    </row>
    <row r="862">
      <c r="B862" s="35"/>
      <c r="C862" s="33"/>
    </row>
    <row r="863">
      <c r="B863" s="35"/>
      <c r="C863" s="33"/>
    </row>
    <row r="864">
      <c r="B864" s="35"/>
      <c r="C864" s="33"/>
    </row>
    <row r="865">
      <c r="B865" s="35"/>
      <c r="C865" s="33"/>
    </row>
    <row r="866">
      <c r="B866" s="35"/>
      <c r="C866" s="33"/>
    </row>
    <row r="867">
      <c r="B867" s="35"/>
      <c r="C867" s="33"/>
    </row>
    <row r="868">
      <c r="B868" s="35"/>
      <c r="C868" s="33"/>
    </row>
    <row r="869">
      <c r="B869" s="35"/>
      <c r="C869" s="33"/>
    </row>
    <row r="870">
      <c r="B870" s="35"/>
      <c r="C870" s="33"/>
    </row>
    <row r="871">
      <c r="B871" s="35"/>
      <c r="C871" s="33"/>
    </row>
    <row r="872">
      <c r="B872" s="35"/>
      <c r="C872" s="33"/>
    </row>
    <row r="873">
      <c r="B873" s="35"/>
      <c r="C873" s="33"/>
    </row>
    <row r="874">
      <c r="B874" s="35"/>
      <c r="C874" s="33"/>
    </row>
    <row r="875">
      <c r="B875" s="35"/>
      <c r="C875" s="33"/>
    </row>
    <row r="876">
      <c r="B876" s="35"/>
      <c r="C876" s="33"/>
    </row>
    <row r="877">
      <c r="B877" s="35"/>
      <c r="C877" s="33"/>
    </row>
    <row r="878">
      <c r="B878" s="35"/>
      <c r="C878" s="33"/>
    </row>
    <row r="879">
      <c r="B879" s="35"/>
      <c r="C879" s="33"/>
    </row>
    <row r="880">
      <c r="B880" s="35"/>
      <c r="C880" s="33"/>
    </row>
    <row r="881">
      <c r="B881" s="35"/>
      <c r="C881" s="33"/>
    </row>
    <row r="882">
      <c r="B882" s="35"/>
      <c r="C882" s="33"/>
    </row>
    <row r="883">
      <c r="B883" s="35"/>
      <c r="C883" s="33"/>
    </row>
    <row r="884">
      <c r="B884" s="35"/>
      <c r="C884" s="33"/>
    </row>
    <row r="885">
      <c r="B885" s="35"/>
      <c r="C885" s="33"/>
    </row>
    <row r="886">
      <c r="B886" s="35"/>
      <c r="C886" s="33"/>
    </row>
    <row r="887">
      <c r="B887" s="35"/>
      <c r="C887" s="33"/>
    </row>
    <row r="888">
      <c r="B888" s="35"/>
      <c r="C888" s="33"/>
    </row>
    <row r="889">
      <c r="B889" s="35"/>
      <c r="C889" s="33"/>
    </row>
    <row r="890">
      <c r="B890" s="35"/>
      <c r="C890" s="33"/>
    </row>
    <row r="891">
      <c r="B891" s="35"/>
      <c r="C891" s="33"/>
    </row>
    <row r="892">
      <c r="B892" s="35"/>
      <c r="C892" s="33"/>
    </row>
    <row r="893">
      <c r="B893" s="35"/>
      <c r="C893" s="33"/>
    </row>
    <row r="894">
      <c r="B894" s="35"/>
      <c r="C894" s="33"/>
    </row>
    <row r="895">
      <c r="B895" s="35"/>
      <c r="C895" s="33"/>
    </row>
    <row r="896">
      <c r="B896" s="35"/>
      <c r="C896" s="33"/>
    </row>
    <row r="897">
      <c r="B897" s="35"/>
      <c r="C897" s="33"/>
    </row>
    <row r="898">
      <c r="B898" s="35"/>
      <c r="C898" s="33"/>
    </row>
    <row r="899">
      <c r="B899" s="35"/>
      <c r="C899" s="33"/>
    </row>
    <row r="900">
      <c r="B900" s="35"/>
      <c r="C900" s="33"/>
    </row>
    <row r="901">
      <c r="B901" s="35"/>
      <c r="C901" s="33"/>
    </row>
    <row r="902">
      <c r="B902" s="35"/>
      <c r="C902" s="33"/>
    </row>
    <row r="903">
      <c r="B903" s="35"/>
      <c r="C903" s="33"/>
    </row>
    <row r="904">
      <c r="B904" s="35"/>
      <c r="C904" s="33"/>
    </row>
    <row r="905">
      <c r="B905" s="35"/>
      <c r="C905" s="33"/>
    </row>
    <row r="906">
      <c r="B906" s="35"/>
      <c r="C906" s="33"/>
    </row>
    <row r="907">
      <c r="B907" s="35"/>
      <c r="C907" s="33"/>
    </row>
    <row r="908">
      <c r="B908" s="35"/>
      <c r="C908" s="33"/>
    </row>
    <row r="909">
      <c r="B909" s="35"/>
      <c r="C909" s="33"/>
    </row>
    <row r="910">
      <c r="B910" s="35"/>
      <c r="C910" s="33"/>
    </row>
    <row r="911">
      <c r="B911" s="35"/>
      <c r="C911" s="33"/>
    </row>
    <row r="912">
      <c r="B912" s="35"/>
      <c r="C912" s="33"/>
    </row>
    <row r="913">
      <c r="B913" s="35"/>
      <c r="C913" s="33"/>
    </row>
    <row r="914">
      <c r="B914" s="35"/>
      <c r="C914" s="33"/>
    </row>
    <row r="915">
      <c r="B915" s="35"/>
      <c r="C915" s="33"/>
    </row>
    <row r="916">
      <c r="B916" s="35"/>
      <c r="C916" s="33"/>
    </row>
    <row r="917">
      <c r="B917" s="35"/>
      <c r="C917" s="33"/>
    </row>
    <row r="918">
      <c r="B918" s="35"/>
      <c r="C918" s="33"/>
    </row>
    <row r="919">
      <c r="B919" s="35"/>
      <c r="C919" s="33"/>
    </row>
    <row r="920">
      <c r="B920" s="35"/>
      <c r="C920" s="33"/>
    </row>
    <row r="921">
      <c r="B921" s="35"/>
      <c r="C921" s="33"/>
    </row>
    <row r="922">
      <c r="B922" s="35"/>
      <c r="C922" s="33"/>
    </row>
    <row r="923">
      <c r="B923" s="35"/>
      <c r="C923" s="33"/>
    </row>
    <row r="924">
      <c r="B924" s="35"/>
      <c r="C924" s="33"/>
    </row>
    <row r="925">
      <c r="B925" s="35"/>
      <c r="C925" s="33"/>
    </row>
    <row r="926">
      <c r="B926" s="35"/>
      <c r="C926" s="33"/>
    </row>
    <row r="927">
      <c r="B927" s="35"/>
      <c r="C927" s="33"/>
    </row>
    <row r="928">
      <c r="B928" s="35"/>
      <c r="C928" s="33"/>
    </row>
    <row r="929">
      <c r="B929" s="35"/>
      <c r="C929" s="33"/>
    </row>
    <row r="930">
      <c r="B930" s="35"/>
      <c r="C930" s="33"/>
    </row>
    <row r="931">
      <c r="B931" s="35"/>
      <c r="C931" s="33"/>
    </row>
    <row r="932">
      <c r="B932" s="35"/>
      <c r="C932" s="33"/>
    </row>
    <row r="933">
      <c r="B933" s="35"/>
      <c r="C933" s="33"/>
    </row>
    <row r="934">
      <c r="B934" s="35"/>
      <c r="C934" s="33"/>
    </row>
    <row r="935">
      <c r="B935" s="35"/>
      <c r="C935" s="33"/>
    </row>
    <row r="936">
      <c r="B936" s="35"/>
      <c r="C936" s="33"/>
    </row>
    <row r="937">
      <c r="B937" s="35"/>
      <c r="C937" s="33"/>
    </row>
    <row r="938">
      <c r="B938" s="35"/>
      <c r="C938" s="33"/>
    </row>
    <row r="939">
      <c r="B939" s="35"/>
      <c r="C939" s="33"/>
    </row>
    <row r="940">
      <c r="B940" s="35"/>
      <c r="C940" s="33"/>
    </row>
    <row r="941">
      <c r="B941" s="35"/>
      <c r="C941" s="33"/>
    </row>
    <row r="942">
      <c r="B942" s="35"/>
      <c r="C942" s="33"/>
    </row>
    <row r="943">
      <c r="B943" s="35"/>
      <c r="C943" s="33"/>
    </row>
    <row r="944">
      <c r="B944" s="35"/>
      <c r="C944" s="33"/>
    </row>
    <row r="945">
      <c r="B945" s="35"/>
      <c r="C945" s="33"/>
    </row>
    <row r="946">
      <c r="B946" s="35"/>
      <c r="C946" s="33"/>
    </row>
    <row r="947">
      <c r="B947" s="35"/>
      <c r="C947" s="33"/>
    </row>
    <row r="948">
      <c r="B948" s="35"/>
      <c r="C948" s="33"/>
    </row>
    <row r="949">
      <c r="B949" s="35"/>
      <c r="C949" s="33"/>
    </row>
    <row r="950">
      <c r="B950" s="35"/>
      <c r="C950" s="33"/>
    </row>
    <row r="951">
      <c r="B951" s="35"/>
      <c r="C951" s="33"/>
    </row>
    <row r="952">
      <c r="B952" s="35"/>
      <c r="C952" s="33"/>
    </row>
    <row r="953">
      <c r="B953" s="35"/>
      <c r="C953" s="33"/>
    </row>
    <row r="954">
      <c r="B954" s="35"/>
      <c r="C954" s="33"/>
    </row>
    <row r="955">
      <c r="B955" s="35"/>
      <c r="C955" s="33"/>
    </row>
    <row r="956">
      <c r="B956" s="35"/>
      <c r="C956" s="33"/>
    </row>
    <row r="957">
      <c r="B957" s="35"/>
      <c r="C957" s="33"/>
    </row>
    <row r="958">
      <c r="B958" s="35"/>
      <c r="C958" s="33"/>
    </row>
    <row r="959">
      <c r="B959" s="35"/>
      <c r="C959" s="33"/>
    </row>
    <row r="960">
      <c r="B960" s="35"/>
      <c r="C960" s="33"/>
    </row>
    <row r="961">
      <c r="B961" s="35"/>
      <c r="C961" s="33"/>
    </row>
    <row r="962">
      <c r="B962" s="35"/>
      <c r="C962" s="33"/>
    </row>
    <row r="963">
      <c r="B963" s="35"/>
      <c r="C963" s="33"/>
    </row>
    <row r="964">
      <c r="B964" s="35"/>
      <c r="C964" s="33"/>
    </row>
    <row r="965">
      <c r="B965" s="35"/>
      <c r="C965" s="33"/>
    </row>
    <row r="966">
      <c r="B966" s="35"/>
      <c r="C966" s="33"/>
    </row>
    <row r="967">
      <c r="B967" s="35"/>
      <c r="C967" s="33"/>
    </row>
    <row r="968">
      <c r="B968" s="35"/>
      <c r="C968" s="33"/>
    </row>
    <row r="969">
      <c r="B969" s="35"/>
      <c r="C969" s="33"/>
    </row>
    <row r="970">
      <c r="B970" s="35"/>
      <c r="C970" s="33"/>
    </row>
    <row r="971">
      <c r="B971" s="35"/>
      <c r="C971" s="33"/>
    </row>
    <row r="972">
      <c r="B972" s="35"/>
      <c r="C972" s="33"/>
    </row>
    <row r="973">
      <c r="B973" s="35"/>
      <c r="C973" s="33"/>
    </row>
    <row r="974">
      <c r="B974" s="35"/>
      <c r="C974" s="33"/>
    </row>
    <row r="975">
      <c r="B975" s="35"/>
      <c r="C975" s="33"/>
    </row>
    <row r="976">
      <c r="B976" s="35"/>
      <c r="C976" s="33"/>
    </row>
    <row r="977">
      <c r="B977" s="35"/>
      <c r="C977" s="33"/>
    </row>
    <row r="978">
      <c r="B978" s="35"/>
      <c r="C978" s="33"/>
    </row>
    <row r="979">
      <c r="B979" s="35"/>
      <c r="C979" s="33"/>
    </row>
    <row r="980">
      <c r="B980" s="35"/>
      <c r="C980" s="33"/>
    </row>
    <row r="981">
      <c r="B981" s="35"/>
      <c r="C981" s="33"/>
    </row>
    <row r="982">
      <c r="B982" s="35"/>
      <c r="C982" s="33"/>
    </row>
    <row r="983">
      <c r="B983" s="35"/>
      <c r="C983" s="33"/>
    </row>
    <row r="984">
      <c r="B984" s="35"/>
      <c r="C984" s="33"/>
    </row>
    <row r="985">
      <c r="B985" s="35"/>
      <c r="C985" s="33"/>
    </row>
    <row r="986">
      <c r="B986" s="35"/>
      <c r="C986" s="33"/>
    </row>
    <row r="987">
      <c r="B987" s="35"/>
      <c r="C987" s="33"/>
    </row>
    <row r="988">
      <c r="B988" s="35"/>
      <c r="C988" s="33"/>
    </row>
    <row r="989">
      <c r="B989" s="35"/>
      <c r="C989" s="33"/>
    </row>
    <row r="990">
      <c r="B990" s="35"/>
      <c r="C990" s="33"/>
    </row>
    <row r="991">
      <c r="B991" s="35"/>
      <c r="C991" s="33"/>
    </row>
    <row r="992">
      <c r="B992" s="35"/>
      <c r="C992" s="33"/>
    </row>
    <row r="993">
      <c r="B993" s="35"/>
      <c r="C993" s="33"/>
    </row>
    <row r="994">
      <c r="B994" s="35"/>
      <c r="C994" s="33"/>
    </row>
    <row r="995">
      <c r="B995" s="35"/>
      <c r="C995" s="33"/>
    </row>
    <row r="996">
      <c r="B996" s="35"/>
      <c r="C996" s="33"/>
    </row>
    <row r="997">
      <c r="B997" s="35"/>
      <c r="C997" s="33"/>
    </row>
    <row r="998">
      <c r="B998" s="35"/>
      <c r="C998" s="33"/>
    </row>
    <row r="999">
      <c r="B999" s="35"/>
      <c r="C999" s="33"/>
    </row>
    <row r="1000">
      <c r="B1000" s="35"/>
      <c r="C1000" s="33"/>
    </row>
    <row r="1001">
      <c r="B1001" s="35"/>
      <c r="C1001" s="33"/>
    </row>
    <row r="1002">
      <c r="B1002" s="35"/>
      <c r="C1002" s="33"/>
    </row>
    <row r="1003">
      <c r="B1003" s="35"/>
      <c r="C1003" s="33"/>
    </row>
    <row r="1004">
      <c r="B1004" s="35"/>
      <c r="C1004" s="33"/>
    </row>
    <row r="1005">
      <c r="B1005" s="35"/>
      <c r="C1005" s="33"/>
    </row>
    <row r="1006">
      <c r="B1006" s="35"/>
      <c r="C1006" s="33"/>
    </row>
    <row r="1007">
      <c r="B1007" s="35"/>
      <c r="C1007" s="33"/>
    </row>
    <row r="1008">
      <c r="B1008" s="35"/>
      <c r="C1008" s="33"/>
    </row>
    <row r="1009">
      <c r="B1009" s="35"/>
      <c r="C1009" s="33"/>
    </row>
    <row r="1010">
      <c r="B1010" s="35"/>
      <c r="C1010" s="33"/>
    </row>
    <row r="1011">
      <c r="B1011" s="35"/>
      <c r="C1011" s="33"/>
    </row>
  </sheetData>
  <drawing r:id="rId1"/>
</worksheet>
</file>